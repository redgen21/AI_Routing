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북미 라우팅\260727\"/>
    </mc:Choice>
  </mc:AlternateContent>
  <xr:revisionPtr revIDLastSave="0" documentId="8_{4F35083C-4AB0-4801-B8BC-63B32AD52480}" xr6:coauthVersionLast="47" xr6:coauthVersionMax="47" xr10:uidLastSave="{00000000-0000-0000-0000-000000000000}"/>
  <bookViews>
    <workbookView xWindow="105" yWindow="15" windowWidth="31905" windowHeight="14115" xr2:uid="{D0F9A484-C969-493A-9547-EAD3F7BBB7A2}"/>
  </bookViews>
  <sheets>
    <sheet name="Sheet2" sheetId="3" r:id="rId1"/>
    <sheet name="_SELECT_T21_CORP_STD1_NAME_AS_S" sheetId="1" r:id="rId2"/>
    <sheet name="Sheet1" sheetId="2" r:id="rId3"/>
  </sheets>
  <externalReferences>
    <externalReference r:id="rId4"/>
  </externalReferences>
  <definedNames>
    <definedName name="_xlnm._FilterDatabase" localSheetId="1" hidden="1">_SELECT_T21_CORP_STD1_NAME_AS_S!$A$1:$AW$47</definedName>
  </definedNames>
  <calcPr calcId="0"/>
  <pivotCaches>
    <pivotCache cacheId="9" r:id="rId5"/>
  </pivotCaches>
</workbook>
</file>

<file path=xl/calcChain.xml><?xml version="1.0" encoding="utf-8"?>
<calcChain xmlns="http://schemas.openxmlformats.org/spreadsheetml/2006/main">
  <c r="AW3" i="1" l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2" i="1"/>
</calcChain>
</file>

<file path=xl/sharedStrings.xml><?xml version="1.0" encoding="utf-8"?>
<sst xmlns="http://schemas.openxmlformats.org/spreadsheetml/2006/main" count="1626" uniqueCount="427">
  <si>
    <t>SUBSIDIARY_NAME</t>
  </si>
  <si>
    <t>STRATEGIC_CITY_NAME</t>
  </si>
  <si>
    <t>SVC_ENGINEER_CODE</t>
  </si>
  <si>
    <t>SVC_ENGINEER_NAME</t>
  </si>
  <si>
    <t>SERVICE_CENTER_TYPE</t>
  </si>
  <si>
    <t>GERP_INPUT_MONTH_YYYYMM_LAST</t>
  </si>
  <si>
    <t>MODEL_CODE</t>
  </si>
  <si>
    <t>SUFFIX_CODE</t>
  </si>
  <si>
    <t>SERIAL_NO</t>
  </si>
  <si>
    <t>PARTS_QTY</t>
  </si>
  <si>
    <t>SERVICE_PRODUCT_GROUP_CODE</t>
  </si>
  <si>
    <t>SERVICE_PRODUCT_GROUP_NAME</t>
  </si>
  <si>
    <t>SERVICE_PRODUCT_CODE</t>
  </si>
  <si>
    <t>SERVICE_PRODUCT_NAME</t>
  </si>
  <si>
    <t>DETAIL_SYMPTOM_CODE</t>
  </si>
  <si>
    <t>GSFS_RECEIPT_NO</t>
  </si>
  <si>
    <t>REPAIR_RECEIPT_DATE_YYYYMMDD</t>
  </si>
  <si>
    <t>REPAIR_RECEIPT_TIMESTAMP</t>
  </si>
  <si>
    <t>REPAIR_END_DATE_YYYYMMDD</t>
  </si>
  <si>
    <t>REPAIR_END_TIMESTAMP</t>
  </si>
  <si>
    <t>FIRST_PROMISE_TIMESTAMP</t>
  </si>
  <si>
    <t>PROMISE_DATE</t>
  </si>
  <si>
    <t>PROMISE_TIMESTAMP</t>
  </si>
  <si>
    <t>BILL_TO_CODE</t>
  </si>
  <si>
    <t>BILL_TO_NAME</t>
  </si>
  <si>
    <t>SHIP_TO_CODE</t>
  </si>
  <si>
    <t>PRODUCT3_CODE</t>
  </si>
  <si>
    <t>DIVISION_NAME</t>
  </si>
  <si>
    <t>SVC_TYPE_CODE</t>
  </si>
  <si>
    <t>SVC_RECEIPT_TYPE</t>
  </si>
  <si>
    <t>COMPANY_CODE</t>
  </si>
  <si>
    <t>SHIP_TO_FULL_NAME</t>
  </si>
  <si>
    <t>SVC_STATUS_CODE_GERP</t>
  </si>
  <si>
    <t>STRATEGIC_CITY_FLAG</t>
  </si>
  <si>
    <t>PARTS_NO</t>
  </si>
  <si>
    <t>STRATEGIC_CITY_PHASE</t>
  </si>
  <si>
    <t>SVC_CENTER_TYPE_CODE</t>
  </si>
  <si>
    <t>RECEIPT_METHOD</t>
  </si>
  <si>
    <t>STATE_NAME</t>
  </si>
  <si>
    <t>CITY_NAME</t>
  </si>
  <si>
    <t>COUNTRY_NAME</t>
  </si>
  <si>
    <t>GERP_INPUT_DATE_YYYYMMDD_ID_LAST</t>
  </si>
  <si>
    <t>GERP_INPUT_TIMESTAMP_LAST</t>
  </si>
  <si>
    <t>GSFS_RECEIPT_NO_COUNT</t>
  </si>
  <si>
    <t>PARTS_QTY_1</t>
  </si>
  <si>
    <t>GSFS_RECEIPT_NO_COUNT_1</t>
  </si>
  <si>
    <t>POSTAL_CODE</t>
  </si>
  <si>
    <t>ADDRESS_LINE1_INFO</t>
  </si>
  <si>
    <t>LGEAI</t>
  </si>
  <si>
    <t>Atlanta, GA</t>
  </si>
  <si>
    <t>AI102977</t>
  </si>
  <si>
    <t>Yu Zheng</t>
  </si>
  <si>
    <t>DMS</t>
  </si>
  <si>
    <t>&lt;NULL&gt;</t>
  </si>
  <si>
    <t>LRFVS3006D</t>
  </si>
  <si>
    <t>ASBCNA0</t>
  </si>
  <si>
    <t>110KRZH31477</t>
  </si>
  <si>
    <t>REF</t>
  </si>
  <si>
    <t>Refrigerator</t>
  </si>
  <si>
    <t>FRD</t>
  </si>
  <si>
    <t>French Door</t>
  </si>
  <si>
    <t>1RRRKRL</t>
  </si>
  <si>
    <t>RNN260720013659</t>
  </si>
  <si>
    <t>US064923001B</t>
  </si>
  <si>
    <t>One time_SVC</t>
  </si>
  <si>
    <t>US0649230001S</t>
  </si>
  <si>
    <t>RFBFFD</t>
  </si>
  <si>
    <t>IH</t>
  </si>
  <si>
    <t>CIC Transfer</t>
  </si>
  <si>
    <t>HS</t>
  </si>
  <si>
    <t>Y</t>
  </si>
  <si>
    <t>EBR88309734</t>
  </si>
  <si>
    <t>2025_P1</t>
  </si>
  <si>
    <t>Live Chat</t>
  </si>
  <si>
    <t>GA</t>
  </si>
  <si>
    <t>BALL GROUND</t>
  </si>
  <si>
    <t>USA</t>
  </si>
  <si>
    <t>291 HAMPTON LN</t>
  </si>
  <si>
    <t>EAU65058502</t>
  </si>
  <si>
    <t>AI105116</t>
  </si>
  <si>
    <t>Frank Hooks</t>
  </si>
  <si>
    <t>LRFXS2503S</t>
  </si>
  <si>
    <t>ASTCNA0</t>
  </si>
  <si>
    <t>109MRBW0H589</t>
  </si>
  <si>
    <t>1PPPAPD</t>
  </si>
  <si>
    <t>RNN260720011991</t>
  </si>
  <si>
    <t>OPEN</t>
  </si>
  <si>
    <t>TCA36811409</t>
  </si>
  <si>
    <t>Phone</t>
  </si>
  <si>
    <t>MARIETTA</t>
  </si>
  <si>
    <t>1167 Fairfield Drive</t>
  </si>
  <si>
    <t>LFXS26973S</t>
  </si>
  <si>
    <t>ASTCNA1</t>
  </si>
  <si>
    <t>112KREL01212</t>
  </si>
  <si>
    <t>RNN260720012372</t>
  </si>
  <si>
    <t>ABA74248424</t>
  </si>
  <si>
    <t>CARROLLTON</t>
  </si>
  <si>
    <t>1228 OAK GROVE CHURCH RD</t>
  </si>
  <si>
    <t>AI102315</t>
  </si>
  <si>
    <t>Winston Perez</t>
  </si>
  <si>
    <t>LRMDS3006S</t>
  </si>
  <si>
    <t>310KRCFKE107</t>
  </si>
  <si>
    <t>1PPPDPT</t>
  </si>
  <si>
    <t>RNN260720010588</t>
  </si>
  <si>
    <t>CSP30272608</t>
  </si>
  <si>
    <t>Others</t>
  </si>
  <si>
    <t>ATHENS</t>
  </si>
  <si>
    <t>325 Old Winterville Rd</t>
  </si>
  <si>
    <t>AI103317</t>
  </si>
  <si>
    <t>Richard Grant</t>
  </si>
  <si>
    <t>LRMXS2806S</t>
  </si>
  <si>
    <t>403KRDJMB706</t>
  </si>
  <si>
    <t>RNN260716095705</t>
  </si>
  <si>
    <t>AJU73672530</t>
  </si>
  <si>
    <t>MCDONOUGH</t>
  </si>
  <si>
    <t>140 THOMAS JEFFERSON DR</t>
  </si>
  <si>
    <t>John Park</t>
  </si>
  <si>
    <t>DMS2</t>
  </si>
  <si>
    <t>LDPM6762S</t>
  </si>
  <si>
    <t>ASSESNA</t>
  </si>
  <si>
    <t>507KWVQ28911</t>
  </si>
  <si>
    <t>WM</t>
  </si>
  <si>
    <t>Washing Machine</t>
  </si>
  <si>
    <t>DWM</t>
  </si>
  <si>
    <t>Dish Washer</t>
  </si>
  <si>
    <t>1AFAAAA</t>
  </si>
  <si>
    <t>RNN260724036763</t>
  </si>
  <si>
    <t>US069937001B</t>
  </si>
  <si>
    <t>National Plat</t>
  </si>
  <si>
    <t>40324200-S</t>
  </si>
  <si>
    <t>WMWKWK</t>
  </si>
  <si>
    <t>Dishwasher</t>
  </si>
  <si>
    <t>(S6)National Platinum Service, Inc</t>
  </si>
  <si>
    <t>Email</t>
  </si>
  <si>
    <t>ALPHARETTA</t>
  </si>
  <si>
    <t>945 Wesbourough Pl</t>
  </si>
  <si>
    <t>LTGL6937D</t>
  </si>
  <si>
    <t>BBDELGA</t>
  </si>
  <si>
    <t>503KMQG2G404</t>
  </si>
  <si>
    <t>COK</t>
  </si>
  <si>
    <t>Cooking Appliance</t>
  </si>
  <si>
    <t>ELR</t>
  </si>
  <si>
    <t>Electric Oven range</t>
  </si>
  <si>
    <t>3ACAEAA</t>
  </si>
  <si>
    <t>RNN260720012076</t>
  </si>
  <si>
    <t>CARNSR</t>
  </si>
  <si>
    <t>Cooking</t>
  </si>
  <si>
    <t>MDQ64177106</t>
  </si>
  <si>
    <t>BUFORD</t>
  </si>
  <si>
    <t>2383 Ivy crest dr</t>
  </si>
  <si>
    <t>AI102448</t>
  </si>
  <si>
    <t>Gilbert Dupree</t>
  </si>
  <si>
    <t>LRFDS3016D</t>
  </si>
  <si>
    <t>103KRHX0P745</t>
  </si>
  <si>
    <t>1FFFVFG</t>
  </si>
  <si>
    <t>RNN260720012194</t>
  </si>
  <si>
    <t>ADH73150210</t>
  </si>
  <si>
    <t>ROSWELL</t>
  </si>
  <si>
    <t>310 Buckingham Forest Ct.</t>
  </si>
  <si>
    <t>AI102087</t>
  </si>
  <si>
    <t>Marcus Harmon</t>
  </si>
  <si>
    <t>LFXS26596S</t>
  </si>
  <si>
    <t>110KRRE0D566</t>
  </si>
  <si>
    <t>1FFFVFH</t>
  </si>
  <si>
    <t>RNN260720010479</t>
  </si>
  <si>
    <t>TEMPLE</t>
  </si>
  <si>
    <t>170 Amy Path</t>
  </si>
  <si>
    <t>LRFWS2906S</t>
  </si>
  <si>
    <t>404KRGGLB327</t>
  </si>
  <si>
    <t>2OOOYOU</t>
  </si>
  <si>
    <t>RNN260719008515</t>
  </si>
  <si>
    <t>HOLD</t>
  </si>
  <si>
    <t>AEQ72909603</t>
  </si>
  <si>
    <t>161 Fritz Mar Ln</t>
  </si>
  <si>
    <t>LDFN4542W</t>
  </si>
  <si>
    <t>ABWESNA</t>
  </si>
  <si>
    <t>204KWRE2M878</t>
  </si>
  <si>
    <t>1ADARAA</t>
  </si>
  <si>
    <t>RNN260719008613</t>
  </si>
  <si>
    <t>AGL75172633</t>
  </si>
  <si>
    <t>NEWNAN</t>
  </si>
  <si>
    <t>104 Posey Rd</t>
  </si>
  <si>
    <t>LRDCS2603S</t>
  </si>
  <si>
    <t>206MRWV0R849</t>
  </si>
  <si>
    <t>Top/Bottom Freezer</t>
  </si>
  <si>
    <t>1GGGVGB</t>
  </si>
  <si>
    <t>RNN260719008914</t>
  </si>
  <si>
    <t>RFBFBF</t>
  </si>
  <si>
    <t>DAWSONVILLE</t>
  </si>
  <si>
    <t>28 Buds Dr</t>
  </si>
  <si>
    <t>AI005576</t>
  </si>
  <si>
    <t>RUDY EDOLE</t>
  </si>
  <si>
    <t>LRFCS25D3S</t>
  </si>
  <si>
    <t>204MRAQ07784</t>
  </si>
  <si>
    <t>RNN260720009855</t>
  </si>
  <si>
    <t>TCA37071511</t>
  </si>
  <si>
    <t>DECATUR</t>
  </si>
  <si>
    <t>3206 Rehoboth Dr</t>
  </si>
  <si>
    <t>AI103264</t>
  </si>
  <si>
    <t>Adolph Scarlett</t>
  </si>
  <si>
    <t>LHSXS2706S</t>
  </si>
  <si>
    <t>412MRVB2E911</t>
  </si>
  <si>
    <t>SBS</t>
  </si>
  <si>
    <t>Side by Side</t>
  </si>
  <si>
    <t>RNN260720009630</t>
  </si>
  <si>
    <t>RFSSSS</t>
  </si>
  <si>
    <t>CONYERS</t>
  </si>
  <si>
    <t>3518 Cherry Creek Ct SE</t>
  </si>
  <si>
    <t>LREN6325XE</t>
  </si>
  <si>
    <t>QRSLLGA</t>
  </si>
  <si>
    <t>508VMWC0E769</t>
  </si>
  <si>
    <t>3AGACAA</t>
  </si>
  <si>
    <t>RNN260630011961</t>
  </si>
  <si>
    <t>CARNFR</t>
  </si>
  <si>
    <t>COVINGTON</t>
  </si>
  <si>
    <t>9150 Spillers Dr SW</t>
  </si>
  <si>
    <t>606MRYA0J810</t>
  </si>
  <si>
    <t>RNN260719009174</t>
  </si>
  <si>
    <t>ELLENWOOD</t>
  </si>
  <si>
    <t>4435 Westminster Dr</t>
  </si>
  <si>
    <t>LMWC23626S</t>
  </si>
  <si>
    <t>012KRCF2M091</t>
  </si>
  <si>
    <t>RNN260721019079</t>
  </si>
  <si>
    <t>AUSTELL</t>
  </si>
  <si>
    <t>4387 HARRIS FARM CT</t>
  </si>
  <si>
    <t>AI102961</t>
  </si>
  <si>
    <t>Nicholas Foskin</t>
  </si>
  <si>
    <t>WM4000HBA</t>
  </si>
  <si>
    <t>ABLEVUS</t>
  </si>
  <si>
    <t>510VWRG2G550</t>
  </si>
  <si>
    <t>DRW</t>
  </si>
  <si>
    <t>Front Loader</t>
  </si>
  <si>
    <t>2HHHHHY</t>
  </si>
  <si>
    <t>RNN260720012643</t>
  </si>
  <si>
    <t>WMWLFL</t>
  </si>
  <si>
    <t>W/M</t>
  </si>
  <si>
    <t>AEM74772904</t>
  </si>
  <si>
    <t>SUWANEE</t>
  </si>
  <si>
    <t>2429 Richmond Row Dr</t>
  </si>
  <si>
    <t>LRSOS2706S</t>
  </si>
  <si>
    <t>509MRRH3Z958</t>
  </si>
  <si>
    <t>1FFFWFJ</t>
  </si>
  <si>
    <t>RNN260708054560</t>
  </si>
  <si>
    <t>DULUTH</t>
  </si>
  <si>
    <t>2128 ALNWICK DR</t>
  </si>
  <si>
    <t>LSSG3019BD</t>
  </si>
  <si>
    <t>BBDESTD</t>
  </si>
  <si>
    <t>807KMVP08127</t>
  </si>
  <si>
    <t>RNN260712071960</t>
  </si>
  <si>
    <t>ABF74495101</t>
  </si>
  <si>
    <t>PINE LAKE</t>
  </si>
  <si>
    <t>466 kenilworth circle</t>
  </si>
  <si>
    <t>LDT5678ST</t>
  </si>
  <si>
    <t>ASTEEUS</t>
  </si>
  <si>
    <t>907KWBY1P005</t>
  </si>
  <si>
    <t>1ADAEAB</t>
  </si>
  <si>
    <t>RNN260720010450</t>
  </si>
  <si>
    <t>AGM76429510</t>
  </si>
  <si>
    <t>2739 Kelly Cove Dr</t>
  </si>
  <si>
    <t>JMOTOS2</t>
  </si>
  <si>
    <t>James Motos</t>
  </si>
  <si>
    <t>001KWWZ05945</t>
  </si>
  <si>
    <t>2ACAFAA</t>
  </si>
  <si>
    <t>RNN260714085731</t>
  </si>
  <si>
    <t>40324201-S</t>
  </si>
  <si>
    <t>ABT72989206</t>
  </si>
  <si>
    <t>JONESBORO</t>
  </si>
  <si>
    <t>2333 Forest DrivE</t>
  </si>
  <si>
    <t>DLE6100W</t>
  </si>
  <si>
    <t>ABWEECI</t>
  </si>
  <si>
    <t>402KWQWMP436</t>
  </si>
  <si>
    <t>DRR</t>
  </si>
  <si>
    <t>Laundry Dryer</t>
  </si>
  <si>
    <t>RNN260718006263</t>
  </si>
  <si>
    <t>WMWRWR</t>
  </si>
  <si>
    <t>Fayetteville</t>
  </si>
  <si>
    <t>135 Wilmington Ln</t>
  </si>
  <si>
    <t>LFXC22596S</t>
  </si>
  <si>
    <t>905KRPV32984</t>
  </si>
  <si>
    <t>RNN260720011806</t>
  </si>
  <si>
    <t>485 Hembree Holw</t>
  </si>
  <si>
    <t>LTCS20020B</t>
  </si>
  <si>
    <t>AWBCNA0</t>
  </si>
  <si>
    <t>304MRVB0D103</t>
  </si>
  <si>
    <t>1OOOOOP</t>
  </si>
  <si>
    <t>RNN260720011603</t>
  </si>
  <si>
    <t>RFTMTM</t>
  </si>
  <si>
    <t>AEB75144906</t>
  </si>
  <si>
    <t>772 Scott Cir</t>
  </si>
  <si>
    <t>105KRGG1Q695</t>
  </si>
  <si>
    <t>RNN260720010223</t>
  </si>
  <si>
    <t>NORCROSS</t>
  </si>
  <si>
    <t>5379 Monarch Pine Ln</t>
  </si>
  <si>
    <t>WM4000HWA</t>
  </si>
  <si>
    <t>ABWEUUS</t>
  </si>
  <si>
    <t>107TNUW28822</t>
  </si>
  <si>
    <t>3CCCICV</t>
  </si>
  <si>
    <t>RNN260716097004</t>
  </si>
  <si>
    <t>3761 Deaton Trail</t>
  </si>
  <si>
    <t>LRMVC2306S</t>
  </si>
  <si>
    <t>302KRFNKA419</t>
  </si>
  <si>
    <t>RNN260720014949</t>
  </si>
  <si>
    <t>108 Ranan Ln</t>
  </si>
  <si>
    <t>ABLEUUS</t>
  </si>
  <si>
    <t>408TNBK0J109</t>
  </si>
  <si>
    <t>1NNNFNK</t>
  </si>
  <si>
    <t>RNN260715088445</t>
  </si>
  <si>
    <t>849 Constellation Dr</t>
  </si>
  <si>
    <t>LMXS28626D</t>
  </si>
  <si>
    <t>802TRBS07725</t>
  </si>
  <si>
    <t>RNN260715087322</t>
  </si>
  <si>
    <t>TCA38091801</t>
  </si>
  <si>
    <t>5533 Pine Grove Dr</t>
  </si>
  <si>
    <t>111KRQW1G140</t>
  </si>
  <si>
    <t>RNN260717005057</t>
  </si>
  <si>
    <t>ATLANTA</t>
  </si>
  <si>
    <t>1177 Pine Grove Ave NE</t>
  </si>
  <si>
    <t>LMXS30776S</t>
  </si>
  <si>
    <t>703KRVQOS039</t>
  </si>
  <si>
    <t>1PPPFAF</t>
  </si>
  <si>
    <t>RNN260721019259</t>
  </si>
  <si>
    <t>1605 Nostalgia Way</t>
  </si>
  <si>
    <t>MVEM1825F</t>
  </si>
  <si>
    <t>BRSELGA</t>
  </si>
  <si>
    <t>503TATGRS665</t>
  </si>
  <si>
    <t>OTR</t>
  </si>
  <si>
    <t>OTR Microwave/Hood</t>
  </si>
  <si>
    <t>1ACAAAC</t>
  </si>
  <si>
    <t>RNN260714084929</t>
  </si>
  <si>
    <t>CAMWOT</t>
  </si>
  <si>
    <t>FAIRBURN</t>
  </si>
  <si>
    <t>8395 Milam Loop</t>
  </si>
  <si>
    <t>LTEL7337F</t>
  </si>
  <si>
    <t>BRSLLGA</t>
  </si>
  <si>
    <t>407KMKT1V725</t>
  </si>
  <si>
    <t>RNN260710063636</t>
  </si>
  <si>
    <t>EAU62862908</t>
  </si>
  <si>
    <t>Snellville</t>
  </si>
  <si>
    <t>4249 INNS BROOK DRIVE</t>
  </si>
  <si>
    <t>LRFXC2606S</t>
  </si>
  <si>
    <t>501KRBY2N045</t>
  </si>
  <si>
    <t>1FFFWFK</t>
  </si>
  <si>
    <t>RNN260719008845</t>
  </si>
  <si>
    <t>JEFFERSON</t>
  </si>
  <si>
    <t>252 Adventure Trail</t>
  </si>
  <si>
    <t>LRMVS3006S</t>
  </si>
  <si>
    <t>208KRUC0Z726</t>
  </si>
  <si>
    <t>1PPPDPU</t>
  </si>
  <si>
    <t>RNN260720011590</t>
  </si>
  <si>
    <t>AEB76044903</t>
  </si>
  <si>
    <t>DACULA</t>
  </si>
  <si>
    <t>2355 Millwater Crossing NE</t>
  </si>
  <si>
    <t>606MRWV0A233</t>
  </si>
  <si>
    <t>1PPPDPV</t>
  </si>
  <si>
    <t>RNN260715089819</t>
  </si>
  <si>
    <t>AEB76292102</t>
  </si>
  <si>
    <t>FAYETTEVILLE</t>
  </si>
  <si>
    <t>355 Old Mill Ct</t>
  </si>
  <si>
    <t>DLE1001W</t>
  </si>
  <si>
    <t>ABWEEUS</t>
  </si>
  <si>
    <t>403KWXDLA034</t>
  </si>
  <si>
    <t>2FFFZFG</t>
  </si>
  <si>
    <t>RNN260715092874</t>
  </si>
  <si>
    <t>12324 Manson Glass Ct</t>
  </si>
  <si>
    <t>LREL6321S</t>
  </si>
  <si>
    <t>FSTLLGA</t>
  </si>
  <si>
    <t>507MMZB0Q277</t>
  </si>
  <si>
    <t>1ADABAA</t>
  </si>
  <si>
    <t>RNN260718006018</t>
  </si>
  <si>
    <t>3009 Viewpark Circle</t>
  </si>
  <si>
    <t>010KRUC0D166</t>
  </si>
  <si>
    <t>RNN260716097942</t>
  </si>
  <si>
    <t>PEACHTREE CITY</t>
  </si>
  <si>
    <t>302 Palatine Pl</t>
  </si>
  <si>
    <t>WT7300CV</t>
  </si>
  <si>
    <t>ASSEUUS</t>
  </si>
  <si>
    <t>005TNDV13602</t>
  </si>
  <si>
    <t>Top Loader</t>
  </si>
  <si>
    <t>RNN260715087758</t>
  </si>
  <si>
    <t>WMWLTL</t>
  </si>
  <si>
    <t>CANTON</t>
  </si>
  <si>
    <t>100 CADENCE TRL</t>
  </si>
  <si>
    <t>LMXS28626S</t>
  </si>
  <si>
    <t>006KRGG18671</t>
  </si>
  <si>
    <t>RNN260720012371</t>
  </si>
  <si>
    <t>Conyers</t>
  </si>
  <si>
    <t>1536 North Point Court SW</t>
  </si>
  <si>
    <t>DLE3400W</t>
  </si>
  <si>
    <t>509KWKS2M669</t>
  </si>
  <si>
    <t>2MMMXMN</t>
  </si>
  <si>
    <t>RNN260712071892</t>
  </si>
  <si>
    <t>1428 Hazy Wy SE</t>
  </si>
  <si>
    <t>LFX25971ST</t>
  </si>
  <si>
    <t>ASTCLGA</t>
  </si>
  <si>
    <t>802KRQW02980</t>
  </si>
  <si>
    <t>RNN260716094699</t>
  </si>
  <si>
    <t>Suwanee</t>
  </si>
  <si>
    <t>3543 Willow Glen Trl</t>
  </si>
  <si>
    <t>601KRMK2C747</t>
  </si>
  <si>
    <t>2GGGXGN</t>
  </si>
  <si>
    <t>RNN260709058980</t>
  </si>
  <si>
    <t>1080 OLD VILLAGE RUN</t>
  </si>
  <si>
    <t>LRFWS2906V</t>
  </si>
  <si>
    <t>APZCNA0</t>
  </si>
  <si>
    <t>108KRPV00712</t>
  </si>
  <si>
    <t>RNN260720013259</t>
  </si>
  <si>
    <t>AJU73432831</t>
  </si>
  <si>
    <t>Buford</t>
  </si>
  <si>
    <t>6401 SWEET LAUREL RUN</t>
  </si>
  <si>
    <t>Zone 1</t>
  </si>
  <si>
    <t>Arthur Gloster</t>
  </si>
  <si>
    <t>Zone 2</t>
  </si>
  <si>
    <t>Sergey Ashihmin</t>
  </si>
  <si>
    <t>Ivan Zimic</t>
  </si>
  <si>
    <t>Zone 3</t>
  </si>
  <si>
    <t>Horace Bull</t>
  </si>
  <si>
    <t>Zone 4</t>
  </si>
  <si>
    <t>Zone 5</t>
  </si>
  <si>
    <t>Tech Name</t>
  </si>
  <si>
    <t>개수 : GSFS_RECEIPT_NO</t>
  </si>
  <si>
    <t>행 레이블</t>
  </si>
  <si>
    <t>총합계</t>
  </si>
  <si>
    <t>Zone</t>
    <phoneticPr fontId="18" type="noConversion"/>
  </si>
  <si>
    <t xml:space="preserve">개수 </t>
    <phoneticPr fontId="18" type="noConversion"/>
  </si>
  <si>
    <t>(다중 항목)</t>
  </si>
  <si>
    <t>배정 개수</t>
    <phoneticPr fontId="18" type="noConversion"/>
  </si>
  <si>
    <t>Leakage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</si>
</sst>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47" fontId="0" fillId="0" borderId="0" xfId="0" applyNumberFormat="1">
      <alignment vertical="center"/>
    </xf>
    <xf numFmtId="0" fontId="0" fillId="0" borderId="0" xfId="0" applyAlignment="1"/>
    <xf numFmtId="0" fontId="0" fillId="0" borderId="0" xfId="0" applyNumberFormat="1">
      <alignment vertical="center"/>
    </xf>
    <xf numFmtId="0" fontId="16" fillId="33" borderId="10" xfId="0" applyFont="1" applyFill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16" fillId="33" borderId="11" xfId="0" applyFont="1" applyFill="1" applyBorder="1" applyAlignment="1">
      <alignment horizontal="left" vertical="center"/>
    </xf>
    <xf numFmtId="0" fontId="16" fillId="33" borderId="11" xfId="0" applyNumberFormat="1" applyFont="1" applyFill="1" applyBorder="1">
      <alignment vertical="center"/>
    </xf>
    <xf numFmtId="0" fontId="0" fillId="34" borderId="0" xfId="0" applyFill="1" applyAlignment="1">
      <alignment horizontal="left" vertical="center"/>
    </xf>
    <xf numFmtId="0" fontId="0" fillId="34" borderId="0" xfId="0" applyNumberFormat="1" applyFill="1">
      <alignment vertical="center"/>
    </xf>
    <xf numFmtId="0" fontId="16" fillId="33" borderId="0" xfId="0" applyFont="1" applyFill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ython\&#48513;&#48120;%20&#46972;&#50864;&#54021;\260310\New%20ATL%20Buckets.xlsx" TargetMode="External"/><Relationship Id="rId1" Type="http://schemas.openxmlformats.org/officeDocument/2006/relationships/externalLinkPath" Target="/python/&#48513;&#48120;%20&#46972;&#50864;&#54021;/260310/New%20ATL%20Buck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 Area"/>
      <sheetName val="2. Technician"/>
    </sheetNames>
    <sheetDataSet>
      <sheetData sheetId="0">
        <row r="2">
          <cell r="A2">
            <v>30008</v>
          </cell>
          <cell r="B2" t="str">
            <v>Zone 1</v>
          </cell>
        </row>
        <row r="3">
          <cell r="A3">
            <v>30060</v>
          </cell>
          <cell r="B3" t="str">
            <v>Zone 1</v>
          </cell>
        </row>
        <row r="4">
          <cell r="A4">
            <v>30063</v>
          </cell>
          <cell r="B4" t="str">
            <v>Zone 1</v>
          </cell>
        </row>
        <row r="5">
          <cell r="A5">
            <v>30064</v>
          </cell>
          <cell r="B5" t="str">
            <v>Zone 1</v>
          </cell>
        </row>
        <row r="6">
          <cell r="A6">
            <v>30069</v>
          </cell>
          <cell r="B6" t="str">
            <v>Zone 1</v>
          </cell>
        </row>
        <row r="7">
          <cell r="A7">
            <v>30080</v>
          </cell>
          <cell r="B7" t="str">
            <v>Zone 1</v>
          </cell>
        </row>
        <row r="8">
          <cell r="A8">
            <v>30081</v>
          </cell>
          <cell r="B8" t="str">
            <v>Zone 1</v>
          </cell>
        </row>
        <row r="9">
          <cell r="A9">
            <v>30082</v>
          </cell>
          <cell r="B9" t="str">
            <v>Zone 1</v>
          </cell>
        </row>
        <row r="10">
          <cell r="A10">
            <v>30101</v>
          </cell>
          <cell r="B10" t="str">
            <v>Zone 1</v>
          </cell>
        </row>
        <row r="11">
          <cell r="A11">
            <v>30106</v>
          </cell>
          <cell r="B11" t="str">
            <v>Zone 1</v>
          </cell>
        </row>
        <row r="12">
          <cell r="A12">
            <v>30109</v>
          </cell>
          <cell r="B12" t="str">
            <v>Zone 1</v>
          </cell>
        </row>
        <row r="13">
          <cell r="A13">
            <v>30110</v>
          </cell>
          <cell r="B13" t="str">
            <v>Zone 1</v>
          </cell>
        </row>
        <row r="14">
          <cell r="A14">
            <v>30111</v>
          </cell>
          <cell r="B14" t="str">
            <v>Zone 1</v>
          </cell>
        </row>
        <row r="15">
          <cell r="A15">
            <v>30112</v>
          </cell>
          <cell r="B15" t="str">
            <v>Zone 1</v>
          </cell>
        </row>
        <row r="16">
          <cell r="A16">
            <v>30116</v>
          </cell>
          <cell r="B16" t="str">
            <v>Zone 1</v>
          </cell>
        </row>
        <row r="17">
          <cell r="A17">
            <v>30117</v>
          </cell>
          <cell r="B17" t="str">
            <v>Zone 1</v>
          </cell>
        </row>
        <row r="18">
          <cell r="A18">
            <v>30118</v>
          </cell>
          <cell r="B18" t="str">
            <v>Zone 1</v>
          </cell>
        </row>
        <row r="19">
          <cell r="A19">
            <v>30119</v>
          </cell>
          <cell r="B19" t="str">
            <v>Zone 1</v>
          </cell>
        </row>
        <row r="20">
          <cell r="A20">
            <v>30120</v>
          </cell>
          <cell r="B20" t="str">
            <v>Zone 1</v>
          </cell>
        </row>
        <row r="21">
          <cell r="A21">
            <v>30122</v>
          </cell>
          <cell r="B21" t="str">
            <v>Zone 1</v>
          </cell>
        </row>
        <row r="22">
          <cell r="A22">
            <v>30126</v>
          </cell>
          <cell r="B22" t="str">
            <v>Zone 1</v>
          </cell>
        </row>
        <row r="23">
          <cell r="A23">
            <v>30127</v>
          </cell>
          <cell r="B23" t="str">
            <v>Zone 1</v>
          </cell>
        </row>
        <row r="24">
          <cell r="A24">
            <v>30132</v>
          </cell>
          <cell r="B24" t="str">
            <v>Zone 1</v>
          </cell>
        </row>
        <row r="25">
          <cell r="A25">
            <v>30133</v>
          </cell>
          <cell r="B25" t="str">
            <v>Zone 1</v>
          </cell>
        </row>
        <row r="26">
          <cell r="A26">
            <v>30134</v>
          </cell>
          <cell r="B26" t="str">
            <v>Zone 1</v>
          </cell>
        </row>
        <row r="27">
          <cell r="A27">
            <v>30135</v>
          </cell>
          <cell r="B27" t="str">
            <v>Zone 1</v>
          </cell>
        </row>
        <row r="28">
          <cell r="A28">
            <v>30137</v>
          </cell>
          <cell r="B28" t="str">
            <v>Zone 1</v>
          </cell>
        </row>
        <row r="29">
          <cell r="A29">
            <v>30141</v>
          </cell>
          <cell r="B29" t="str">
            <v>Zone 1</v>
          </cell>
        </row>
        <row r="30">
          <cell r="A30">
            <v>30142</v>
          </cell>
          <cell r="B30" t="str">
            <v>Zone 1</v>
          </cell>
        </row>
        <row r="31">
          <cell r="A31">
            <v>30144</v>
          </cell>
          <cell r="B31" t="str">
            <v>Zone 1</v>
          </cell>
        </row>
        <row r="32">
          <cell r="A32">
            <v>30152</v>
          </cell>
          <cell r="B32" t="str">
            <v>Zone 1</v>
          </cell>
        </row>
        <row r="33">
          <cell r="A33">
            <v>30154</v>
          </cell>
          <cell r="B33" t="str">
            <v>Zone 1</v>
          </cell>
        </row>
        <row r="34">
          <cell r="A34">
            <v>30156</v>
          </cell>
          <cell r="B34" t="str">
            <v>Zone 1</v>
          </cell>
        </row>
        <row r="35">
          <cell r="A35">
            <v>30157</v>
          </cell>
          <cell r="B35" t="str">
            <v>Zone 1</v>
          </cell>
        </row>
        <row r="36">
          <cell r="A36">
            <v>30160</v>
          </cell>
          <cell r="B36" t="str">
            <v>Zone 1</v>
          </cell>
        </row>
        <row r="37">
          <cell r="A37">
            <v>30168</v>
          </cell>
          <cell r="B37" t="str">
            <v>Zone 1</v>
          </cell>
        </row>
        <row r="38">
          <cell r="A38">
            <v>30179</v>
          </cell>
          <cell r="B38" t="str">
            <v>Zone 1</v>
          </cell>
        </row>
        <row r="39">
          <cell r="A39">
            <v>30180</v>
          </cell>
          <cell r="B39" t="str">
            <v>Zone 1</v>
          </cell>
        </row>
        <row r="40">
          <cell r="A40">
            <v>30185</v>
          </cell>
          <cell r="B40" t="str">
            <v>Zone 1</v>
          </cell>
        </row>
        <row r="41">
          <cell r="A41">
            <v>30187</v>
          </cell>
          <cell r="B41" t="str">
            <v>Zone 1</v>
          </cell>
        </row>
        <row r="42">
          <cell r="A42">
            <v>30213</v>
          </cell>
          <cell r="B42" t="str">
            <v>Zone 1</v>
          </cell>
        </row>
        <row r="43">
          <cell r="A43">
            <v>30263</v>
          </cell>
          <cell r="B43" t="str">
            <v>Zone 1</v>
          </cell>
        </row>
        <row r="44">
          <cell r="A44">
            <v>30264</v>
          </cell>
          <cell r="B44" t="str">
            <v>Zone 1</v>
          </cell>
        </row>
        <row r="45">
          <cell r="A45">
            <v>30265</v>
          </cell>
          <cell r="B45" t="str">
            <v>Zone 1</v>
          </cell>
        </row>
        <row r="46">
          <cell r="A46">
            <v>30268</v>
          </cell>
          <cell r="B46" t="str">
            <v>Zone 1</v>
          </cell>
        </row>
        <row r="47">
          <cell r="A47">
            <v>30270</v>
          </cell>
          <cell r="B47" t="str">
            <v>Zone 1</v>
          </cell>
        </row>
        <row r="48">
          <cell r="A48">
            <v>30271</v>
          </cell>
          <cell r="B48" t="str">
            <v>Zone 1</v>
          </cell>
        </row>
        <row r="49">
          <cell r="A49">
            <v>30275</v>
          </cell>
          <cell r="B49" t="str">
            <v>Zone 1</v>
          </cell>
        </row>
        <row r="50">
          <cell r="A50">
            <v>30291</v>
          </cell>
          <cell r="B50" t="str">
            <v>Zone 1</v>
          </cell>
        </row>
        <row r="51">
          <cell r="A51">
            <v>30305</v>
          </cell>
          <cell r="B51" t="str">
            <v>Zone 1</v>
          </cell>
        </row>
        <row r="52">
          <cell r="A52">
            <v>30309</v>
          </cell>
          <cell r="B52" t="str">
            <v>Zone 1</v>
          </cell>
        </row>
        <row r="53">
          <cell r="A53">
            <v>30310</v>
          </cell>
          <cell r="B53" t="str">
            <v>Zone 1</v>
          </cell>
        </row>
        <row r="54">
          <cell r="A54">
            <v>30311</v>
          </cell>
          <cell r="B54" t="str">
            <v>Zone 1</v>
          </cell>
        </row>
        <row r="55">
          <cell r="A55">
            <v>30313</v>
          </cell>
          <cell r="B55" t="str">
            <v>Zone 1</v>
          </cell>
        </row>
        <row r="56">
          <cell r="A56">
            <v>30314</v>
          </cell>
          <cell r="B56" t="str">
            <v>Zone 1</v>
          </cell>
        </row>
        <row r="57">
          <cell r="A57">
            <v>30318</v>
          </cell>
          <cell r="B57" t="str">
            <v>Zone 1</v>
          </cell>
        </row>
        <row r="58">
          <cell r="A58">
            <v>30324</v>
          </cell>
          <cell r="B58" t="str">
            <v>Zone 1</v>
          </cell>
        </row>
        <row r="59">
          <cell r="A59">
            <v>30327</v>
          </cell>
          <cell r="B59" t="str">
            <v>Zone 1</v>
          </cell>
        </row>
        <row r="60">
          <cell r="A60">
            <v>30331</v>
          </cell>
          <cell r="B60" t="str">
            <v>Zone 1</v>
          </cell>
        </row>
        <row r="61">
          <cell r="A61">
            <v>30332</v>
          </cell>
          <cell r="B61" t="str">
            <v>Zone 1</v>
          </cell>
        </row>
        <row r="62">
          <cell r="A62">
            <v>30336</v>
          </cell>
          <cell r="B62" t="str">
            <v>Zone 1</v>
          </cell>
        </row>
        <row r="63">
          <cell r="A63">
            <v>30337</v>
          </cell>
          <cell r="B63" t="str">
            <v>Zone 1</v>
          </cell>
        </row>
        <row r="64">
          <cell r="A64">
            <v>30339</v>
          </cell>
          <cell r="B64" t="str">
            <v>Zone 1</v>
          </cell>
        </row>
        <row r="65">
          <cell r="A65">
            <v>30344</v>
          </cell>
          <cell r="B65" t="str">
            <v>Zone 1</v>
          </cell>
        </row>
        <row r="66">
          <cell r="A66">
            <v>30349</v>
          </cell>
          <cell r="B66" t="str">
            <v>Zone 1</v>
          </cell>
        </row>
        <row r="67">
          <cell r="A67">
            <v>30363</v>
          </cell>
          <cell r="B67" t="str">
            <v>Zone 1</v>
          </cell>
        </row>
        <row r="68">
          <cell r="A68">
            <v>30364</v>
          </cell>
          <cell r="B68" t="str">
            <v>Zone 1</v>
          </cell>
        </row>
        <row r="69">
          <cell r="A69">
            <v>30369</v>
          </cell>
          <cell r="B69" t="str">
            <v>Zone 1</v>
          </cell>
        </row>
        <row r="70">
          <cell r="A70">
            <v>30378</v>
          </cell>
          <cell r="B70" t="str">
            <v>Zone 1</v>
          </cell>
        </row>
        <row r="71">
          <cell r="A71">
            <v>31136</v>
          </cell>
          <cell r="B71" t="str">
            <v>Zone 1</v>
          </cell>
        </row>
        <row r="72">
          <cell r="A72">
            <v>31169</v>
          </cell>
          <cell r="B72" t="str">
            <v>Zone 1</v>
          </cell>
        </row>
        <row r="73">
          <cell r="A73">
            <v>31195</v>
          </cell>
          <cell r="B73" t="str">
            <v>Zone 1</v>
          </cell>
        </row>
        <row r="74">
          <cell r="A74">
            <v>31196</v>
          </cell>
          <cell r="B74" t="str">
            <v>Zone 1</v>
          </cell>
        </row>
        <row r="75">
          <cell r="A75">
            <v>30004</v>
          </cell>
          <cell r="B75" t="str">
            <v>Zone 2</v>
          </cell>
        </row>
        <row r="76">
          <cell r="A76">
            <v>30005</v>
          </cell>
          <cell r="B76" t="str">
            <v>Zone 2</v>
          </cell>
        </row>
        <row r="77">
          <cell r="A77">
            <v>30007</v>
          </cell>
          <cell r="B77" t="str">
            <v>Zone 2</v>
          </cell>
        </row>
        <row r="78">
          <cell r="A78">
            <v>30009</v>
          </cell>
          <cell r="B78" t="str">
            <v>Zone 2</v>
          </cell>
        </row>
        <row r="79">
          <cell r="A79">
            <v>30022</v>
          </cell>
          <cell r="B79" t="str">
            <v>Zone 2</v>
          </cell>
        </row>
        <row r="80">
          <cell r="A80">
            <v>30023</v>
          </cell>
          <cell r="B80" t="str">
            <v>Zone 2</v>
          </cell>
        </row>
        <row r="81">
          <cell r="A81">
            <v>30024</v>
          </cell>
          <cell r="B81" t="str">
            <v>Zone 2</v>
          </cell>
        </row>
        <row r="82">
          <cell r="A82">
            <v>30028</v>
          </cell>
          <cell r="B82" t="str">
            <v>Zone 2</v>
          </cell>
        </row>
        <row r="83">
          <cell r="A83">
            <v>30040</v>
          </cell>
          <cell r="B83" t="str">
            <v>Zone 2</v>
          </cell>
        </row>
        <row r="84">
          <cell r="A84">
            <v>30041</v>
          </cell>
          <cell r="B84" t="str">
            <v>Zone 2</v>
          </cell>
        </row>
        <row r="85">
          <cell r="A85">
            <v>30062</v>
          </cell>
          <cell r="B85" t="str">
            <v>Zone 2</v>
          </cell>
        </row>
        <row r="86">
          <cell r="A86">
            <v>30065</v>
          </cell>
          <cell r="B86" t="str">
            <v>Zone 2</v>
          </cell>
        </row>
        <row r="87">
          <cell r="A87">
            <v>30066</v>
          </cell>
          <cell r="B87" t="str">
            <v>Zone 2</v>
          </cell>
        </row>
        <row r="88">
          <cell r="A88">
            <v>30067</v>
          </cell>
          <cell r="B88" t="str">
            <v>Zone 2</v>
          </cell>
        </row>
        <row r="89">
          <cell r="A89">
            <v>30068</v>
          </cell>
          <cell r="B89" t="str">
            <v>Zone 2</v>
          </cell>
        </row>
        <row r="90">
          <cell r="A90">
            <v>30071</v>
          </cell>
          <cell r="B90" t="str">
            <v>Zone 2</v>
          </cell>
        </row>
        <row r="91">
          <cell r="A91">
            <v>30075</v>
          </cell>
          <cell r="B91" t="str">
            <v>Zone 2</v>
          </cell>
        </row>
        <row r="92">
          <cell r="A92">
            <v>30076</v>
          </cell>
          <cell r="B92" t="str">
            <v>Zone 2</v>
          </cell>
        </row>
        <row r="93">
          <cell r="A93">
            <v>30092</v>
          </cell>
          <cell r="B93" t="str">
            <v>Zone 2</v>
          </cell>
        </row>
        <row r="94">
          <cell r="A94">
            <v>30096</v>
          </cell>
          <cell r="B94" t="str">
            <v>Zone 2</v>
          </cell>
        </row>
        <row r="95">
          <cell r="A95">
            <v>30097</v>
          </cell>
          <cell r="B95" t="str">
            <v>Zone 2</v>
          </cell>
        </row>
        <row r="96">
          <cell r="A96">
            <v>30098</v>
          </cell>
          <cell r="B96" t="str">
            <v>Zone 2</v>
          </cell>
        </row>
        <row r="97">
          <cell r="A97">
            <v>30102</v>
          </cell>
          <cell r="B97" t="str">
            <v>Zone 2</v>
          </cell>
        </row>
        <row r="98">
          <cell r="A98">
            <v>30107</v>
          </cell>
          <cell r="B98" t="str">
            <v>Zone 2</v>
          </cell>
        </row>
        <row r="99">
          <cell r="A99">
            <v>30114</v>
          </cell>
          <cell r="B99" t="str">
            <v>Zone 2</v>
          </cell>
        </row>
        <row r="100">
          <cell r="A100">
            <v>30115</v>
          </cell>
          <cell r="B100" t="str">
            <v>Zone 2</v>
          </cell>
        </row>
        <row r="101">
          <cell r="A101">
            <v>30146</v>
          </cell>
          <cell r="B101" t="str">
            <v>Zone 2</v>
          </cell>
        </row>
        <row r="102">
          <cell r="A102">
            <v>30169</v>
          </cell>
          <cell r="B102" t="str">
            <v>Zone 2</v>
          </cell>
        </row>
        <row r="103">
          <cell r="A103">
            <v>30188</v>
          </cell>
          <cell r="B103" t="str">
            <v>Zone 2</v>
          </cell>
        </row>
        <row r="104">
          <cell r="A104">
            <v>30189</v>
          </cell>
          <cell r="B104" t="str">
            <v>Zone 2</v>
          </cell>
        </row>
        <row r="105">
          <cell r="A105">
            <v>30326</v>
          </cell>
          <cell r="B105" t="str">
            <v>Zone 2</v>
          </cell>
        </row>
        <row r="106">
          <cell r="A106">
            <v>30328</v>
          </cell>
          <cell r="B106" t="str">
            <v>Zone 2</v>
          </cell>
        </row>
        <row r="107">
          <cell r="A107">
            <v>30338</v>
          </cell>
          <cell r="B107" t="str">
            <v>Zone 2</v>
          </cell>
        </row>
        <row r="108">
          <cell r="A108">
            <v>30340</v>
          </cell>
          <cell r="B108" t="str">
            <v>Zone 2</v>
          </cell>
        </row>
        <row r="109">
          <cell r="A109">
            <v>30341</v>
          </cell>
          <cell r="B109" t="str">
            <v>Zone 2</v>
          </cell>
        </row>
        <row r="110">
          <cell r="A110">
            <v>30342</v>
          </cell>
          <cell r="B110" t="str">
            <v>Zone 2</v>
          </cell>
        </row>
        <row r="111">
          <cell r="A111">
            <v>30346</v>
          </cell>
          <cell r="B111" t="str">
            <v>Zone 2</v>
          </cell>
        </row>
        <row r="112">
          <cell r="A112">
            <v>30350</v>
          </cell>
          <cell r="B112" t="str">
            <v>Zone 2</v>
          </cell>
        </row>
        <row r="113">
          <cell r="A113">
            <v>30356</v>
          </cell>
          <cell r="B113" t="str">
            <v>Zone 2</v>
          </cell>
        </row>
        <row r="114">
          <cell r="A114">
            <v>30358</v>
          </cell>
          <cell r="B114" t="str">
            <v>Zone 2</v>
          </cell>
        </row>
        <row r="115">
          <cell r="A115">
            <v>30360</v>
          </cell>
          <cell r="B115" t="str">
            <v>Zone 2</v>
          </cell>
        </row>
        <row r="116">
          <cell r="A116">
            <v>30384</v>
          </cell>
          <cell r="B116" t="str">
            <v>Zone 2</v>
          </cell>
        </row>
        <row r="117">
          <cell r="A117">
            <v>30518</v>
          </cell>
          <cell r="B117" t="str">
            <v>Zone 2</v>
          </cell>
        </row>
        <row r="118">
          <cell r="A118">
            <v>31146</v>
          </cell>
          <cell r="B118" t="str">
            <v>Zone 2</v>
          </cell>
        </row>
        <row r="119">
          <cell r="A119">
            <v>31150</v>
          </cell>
          <cell r="B119" t="str">
            <v>Zone 2</v>
          </cell>
        </row>
        <row r="120">
          <cell r="A120">
            <v>31156</v>
          </cell>
          <cell r="B120" t="str">
            <v>Zone 2</v>
          </cell>
        </row>
        <row r="121">
          <cell r="A121">
            <v>30028</v>
          </cell>
          <cell r="B121" t="str">
            <v>Zone 3</v>
          </cell>
        </row>
        <row r="122">
          <cell r="A122">
            <v>30040</v>
          </cell>
          <cell r="B122" t="str">
            <v>Zone 3</v>
          </cell>
        </row>
        <row r="123">
          <cell r="A123">
            <v>30041</v>
          </cell>
          <cell r="B123" t="str">
            <v>Zone 3</v>
          </cell>
        </row>
        <row r="124">
          <cell r="A124">
            <v>30107</v>
          </cell>
          <cell r="B124" t="str">
            <v>Zone 3</v>
          </cell>
        </row>
        <row r="125">
          <cell r="A125">
            <v>30143</v>
          </cell>
          <cell r="B125" t="str">
            <v>Zone 3</v>
          </cell>
        </row>
        <row r="126">
          <cell r="A126">
            <v>30148</v>
          </cell>
          <cell r="B126" t="str">
            <v>Zone 3</v>
          </cell>
        </row>
        <row r="127">
          <cell r="A127">
            <v>30175</v>
          </cell>
          <cell r="B127" t="str">
            <v>Zone 3</v>
          </cell>
        </row>
        <row r="128">
          <cell r="A128">
            <v>30177</v>
          </cell>
          <cell r="B128" t="str">
            <v>Zone 3</v>
          </cell>
        </row>
        <row r="129">
          <cell r="A129">
            <v>30501</v>
          </cell>
          <cell r="B129" t="str">
            <v>Zone 3</v>
          </cell>
        </row>
        <row r="130">
          <cell r="A130">
            <v>30503</v>
          </cell>
          <cell r="B130" t="str">
            <v>Zone 3</v>
          </cell>
        </row>
        <row r="131">
          <cell r="A131">
            <v>30504</v>
          </cell>
          <cell r="B131" t="str">
            <v>Zone 3</v>
          </cell>
        </row>
        <row r="132">
          <cell r="A132">
            <v>30506</v>
          </cell>
          <cell r="B132" t="str">
            <v>Zone 3</v>
          </cell>
        </row>
        <row r="133">
          <cell r="A133">
            <v>30507</v>
          </cell>
          <cell r="B133" t="str">
            <v>Zone 3</v>
          </cell>
        </row>
        <row r="134">
          <cell r="A134">
            <v>30510</v>
          </cell>
          <cell r="B134" t="str">
            <v>Zone 3</v>
          </cell>
        </row>
        <row r="135">
          <cell r="A135">
            <v>30527</v>
          </cell>
          <cell r="B135" t="str">
            <v>Zone 3</v>
          </cell>
        </row>
        <row r="136">
          <cell r="A136">
            <v>30528</v>
          </cell>
          <cell r="B136" t="str">
            <v>Zone 3</v>
          </cell>
        </row>
        <row r="137">
          <cell r="A137">
            <v>30531</v>
          </cell>
          <cell r="B137" t="str">
            <v>Zone 3</v>
          </cell>
        </row>
        <row r="138">
          <cell r="A138">
            <v>30533</v>
          </cell>
          <cell r="B138" t="str">
            <v>Zone 3</v>
          </cell>
        </row>
        <row r="139">
          <cell r="A139">
            <v>30534</v>
          </cell>
          <cell r="B139" t="str">
            <v>Zone 3</v>
          </cell>
        </row>
        <row r="140">
          <cell r="A140">
            <v>30535</v>
          </cell>
          <cell r="B140" t="str">
            <v>Zone 3</v>
          </cell>
        </row>
        <row r="141">
          <cell r="A141">
            <v>30542</v>
          </cell>
          <cell r="B141" t="str">
            <v>Zone 3</v>
          </cell>
        </row>
        <row r="142">
          <cell r="A142">
            <v>30554</v>
          </cell>
          <cell r="B142" t="str">
            <v>Zone 3</v>
          </cell>
        </row>
        <row r="143">
          <cell r="A143">
            <v>30564</v>
          </cell>
          <cell r="B143" t="str">
            <v>Zone 3</v>
          </cell>
        </row>
        <row r="144">
          <cell r="A144">
            <v>30566</v>
          </cell>
          <cell r="B144" t="str">
            <v>Zone 3</v>
          </cell>
        </row>
        <row r="145">
          <cell r="A145">
            <v>30597</v>
          </cell>
          <cell r="B145" t="str">
            <v>Zone 3</v>
          </cell>
        </row>
        <row r="146">
          <cell r="A146">
            <v>30013</v>
          </cell>
          <cell r="B146" t="str">
            <v>Zone 4</v>
          </cell>
        </row>
        <row r="147">
          <cell r="A147">
            <v>30016</v>
          </cell>
          <cell r="B147" t="str">
            <v>Zone 4</v>
          </cell>
        </row>
        <row r="148">
          <cell r="A148">
            <v>30030</v>
          </cell>
          <cell r="B148" t="str">
            <v>Zone 4</v>
          </cell>
        </row>
        <row r="149">
          <cell r="A149">
            <v>30032</v>
          </cell>
          <cell r="B149" t="str">
            <v>Zone 4</v>
          </cell>
        </row>
        <row r="150">
          <cell r="A150">
            <v>30034</v>
          </cell>
          <cell r="B150" t="str">
            <v>Zone 4</v>
          </cell>
        </row>
        <row r="151">
          <cell r="A151">
            <v>30035</v>
          </cell>
          <cell r="B151" t="str">
            <v>Zone 4</v>
          </cell>
        </row>
        <row r="152">
          <cell r="A152">
            <v>30037</v>
          </cell>
          <cell r="B152" t="str">
            <v>Zone 4</v>
          </cell>
        </row>
        <row r="153">
          <cell r="A153">
            <v>30038</v>
          </cell>
          <cell r="B153" t="str">
            <v>Zone 4</v>
          </cell>
        </row>
        <row r="154">
          <cell r="A154">
            <v>30094</v>
          </cell>
          <cell r="B154" t="str">
            <v>Zone 4</v>
          </cell>
        </row>
        <row r="155">
          <cell r="A155">
            <v>30205</v>
          </cell>
          <cell r="B155" t="str">
            <v>Zone 4</v>
          </cell>
        </row>
        <row r="156">
          <cell r="A156">
            <v>30212</v>
          </cell>
          <cell r="B156" t="str">
            <v>Zone 4</v>
          </cell>
        </row>
        <row r="157">
          <cell r="A157">
            <v>30214</v>
          </cell>
          <cell r="B157" t="str">
            <v>Zone 4</v>
          </cell>
        </row>
        <row r="158">
          <cell r="A158">
            <v>30215</v>
          </cell>
          <cell r="B158" t="str">
            <v>Zone 4</v>
          </cell>
        </row>
        <row r="159">
          <cell r="A159">
            <v>30216</v>
          </cell>
          <cell r="B159" t="str">
            <v>Zone 4</v>
          </cell>
        </row>
        <row r="160">
          <cell r="A160">
            <v>30223</v>
          </cell>
          <cell r="B160" t="str">
            <v>Zone 4</v>
          </cell>
        </row>
        <row r="161">
          <cell r="A161">
            <v>30224</v>
          </cell>
          <cell r="B161" t="str">
            <v>Zone 4</v>
          </cell>
        </row>
        <row r="162">
          <cell r="A162">
            <v>30228</v>
          </cell>
          <cell r="B162" t="str">
            <v>Zone 4</v>
          </cell>
        </row>
        <row r="163">
          <cell r="A163">
            <v>30233</v>
          </cell>
          <cell r="B163" t="str">
            <v>Zone 4</v>
          </cell>
        </row>
        <row r="164">
          <cell r="A164">
            <v>30234</v>
          </cell>
          <cell r="B164" t="str">
            <v>Zone 4</v>
          </cell>
        </row>
        <row r="165">
          <cell r="A165">
            <v>30236</v>
          </cell>
          <cell r="B165" t="str">
            <v>Zone 4</v>
          </cell>
        </row>
        <row r="166">
          <cell r="A166">
            <v>30238</v>
          </cell>
          <cell r="B166" t="str">
            <v>Zone 4</v>
          </cell>
        </row>
        <row r="167">
          <cell r="A167">
            <v>30248</v>
          </cell>
          <cell r="B167" t="str">
            <v>Zone 4</v>
          </cell>
        </row>
        <row r="168">
          <cell r="A168">
            <v>30250</v>
          </cell>
          <cell r="B168" t="str">
            <v>Zone 4</v>
          </cell>
        </row>
        <row r="169">
          <cell r="A169">
            <v>30252</v>
          </cell>
          <cell r="B169" t="str">
            <v>Zone 4</v>
          </cell>
        </row>
        <row r="170">
          <cell r="A170">
            <v>30253</v>
          </cell>
          <cell r="B170" t="str">
            <v>Zone 4</v>
          </cell>
        </row>
        <row r="171">
          <cell r="A171">
            <v>30260</v>
          </cell>
          <cell r="B171" t="str">
            <v>Zone 4</v>
          </cell>
        </row>
        <row r="172">
          <cell r="A172">
            <v>30269</v>
          </cell>
          <cell r="B172" t="str">
            <v>Zone 4</v>
          </cell>
        </row>
        <row r="173">
          <cell r="A173">
            <v>30273</v>
          </cell>
          <cell r="B173" t="str">
            <v>Zone 4</v>
          </cell>
        </row>
        <row r="174">
          <cell r="A174">
            <v>30274</v>
          </cell>
          <cell r="B174" t="str">
            <v>Zone 4</v>
          </cell>
        </row>
        <row r="175">
          <cell r="A175">
            <v>30276</v>
          </cell>
          <cell r="B175" t="str">
            <v>Zone 4</v>
          </cell>
        </row>
        <row r="176">
          <cell r="A176">
            <v>30277</v>
          </cell>
          <cell r="B176" t="str">
            <v>Zone 4</v>
          </cell>
        </row>
        <row r="177">
          <cell r="A177">
            <v>30281</v>
          </cell>
          <cell r="B177" t="str">
            <v>Zone 4</v>
          </cell>
        </row>
        <row r="178">
          <cell r="A178">
            <v>30284</v>
          </cell>
          <cell r="B178" t="str">
            <v>Zone 4</v>
          </cell>
        </row>
        <row r="179">
          <cell r="A179">
            <v>30288</v>
          </cell>
          <cell r="B179" t="str">
            <v>Zone 4</v>
          </cell>
        </row>
        <row r="180">
          <cell r="A180">
            <v>30290</v>
          </cell>
          <cell r="B180" t="str">
            <v>Zone 4</v>
          </cell>
        </row>
        <row r="181">
          <cell r="A181">
            <v>30294</v>
          </cell>
          <cell r="B181" t="str">
            <v>Zone 4</v>
          </cell>
        </row>
        <row r="182">
          <cell r="A182">
            <v>30296</v>
          </cell>
          <cell r="B182" t="str">
            <v>Zone 4</v>
          </cell>
        </row>
        <row r="183">
          <cell r="A183">
            <v>30297</v>
          </cell>
          <cell r="B183" t="str">
            <v>Zone 4</v>
          </cell>
        </row>
        <row r="184">
          <cell r="A184">
            <v>30303</v>
          </cell>
          <cell r="B184" t="str">
            <v>Zone 4</v>
          </cell>
        </row>
        <row r="185">
          <cell r="A185">
            <v>30306</v>
          </cell>
          <cell r="B185" t="str">
            <v>Zone 4</v>
          </cell>
        </row>
        <row r="186">
          <cell r="A186">
            <v>30307</v>
          </cell>
          <cell r="B186" t="str">
            <v>Zone 4</v>
          </cell>
        </row>
        <row r="187">
          <cell r="A187">
            <v>30308</v>
          </cell>
          <cell r="B187" t="str">
            <v>Zone 4</v>
          </cell>
        </row>
        <row r="188">
          <cell r="A188">
            <v>30312</v>
          </cell>
          <cell r="B188" t="str">
            <v>Zone 4</v>
          </cell>
        </row>
        <row r="189">
          <cell r="A189">
            <v>30315</v>
          </cell>
          <cell r="B189" t="str">
            <v>Zone 4</v>
          </cell>
        </row>
        <row r="190">
          <cell r="A190">
            <v>30316</v>
          </cell>
          <cell r="B190" t="str">
            <v>Zone 4</v>
          </cell>
        </row>
        <row r="191">
          <cell r="A191">
            <v>30317</v>
          </cell>
          <cell r="B191" t="str">
            <v>Zone 4</v>
          </cell>
        </row>
        <row r="192">
          <cell r="A192">
            <v>30322</v>
          </cell>
          <cell r="B192" t="str">
            <v>Zone 4</v>
          </cell>
        </row>
        <row r="193">
          <cell r="A193">
            <v>30354</v>
          </cell>
          <cell r="B193" t="str">
            <v>Zone 4</v>
          </cell>
        </row>
        <row r="194">
          <cell r="A194">
            <v>30361</v>
          </cell>
          <cell r="B194" t="str">
            <v>Zone 4</v>
          </cell>
        </row>
        <row r="195">
          <cell r="A195">
            <v>30002</v>
          </cell>
          <cell r="B195" t="str">
            <v>Zone 5</v>
          </cell>
        </row>
        <row r="196">
          <cell r="A196">
            <v>30011</v>
          </cell>
          <cell r="B196" t="str">
            <v>Zone 5</v>
          </cell>
        </row>
        <row r="197">
          <cell r="A197">
            <v>30012</v>
          </cell>
          <cell r="B197" t="str">
            <v>Zone 5</v>
          </cell>
        </row>
        <row r="198">
          <cell r="A198">
            <v>30014</v>
          </cell>
          <cell r="B198" t="str">
            <v>Zone 5</v>
          </cell>
        </row>
        <row r="199">
          <cell r="A199">
            <v>30017</v>
          </cell>
          <cell r="B199" t="str">
            <v>Zone 5</v>
          </cell>
        </row>
        <row r="200">
          <cell r="A200">
            <v>30018</v>
          </cell>
          <cell r="B200" t="str">
            <v>Zone 5</v>
          </cell>
        </row>
        <row r="201">
          <cell r="A201">
            <v>30019</v>
          </cell>
          <cell r="B201" t="str">
            <v>Zone 5</v>
          </cell>
        </row>
        <row r="202">
          <cell r="A202">
            <v>30021</v>
          </cell>
          <cell r="B202" t="str">
            <v>Zone 5</v>
          </cell>
        </row>
        <row r="203">
          <cell r="A203">
            <v>30025</v>
          </cell>
          <cell r="B203" t="str">
            <v>Zone 5</v>
          </cell>
        </row>
        <row r="204">
          <cell r="A204">
            <v>30033</v>
          </cell>
          <cell r="B204" t="str">
            <v>Zone 5</v>
          </cell>
        </row>
        <row r="205">
          <cell r="A205">
            <v>30039</v>
          </cell>
          <cell r="B205" t="str">
            <v>Zone 5</v>
          </cell>
        </row>
        <row r="206">
          <cell r="A206">
            <v>30043</v>
          </cell>
          <cell r="B206" t="str">
            <v>Zone 5</v>
          </cell>
        </row>
        <row r="207">
          <cell r="A207">
            <v>30044</v>
          </cell>
          <cell r="B207" t="str">
            <v>Zone 5</v>
          </cell>
        </row>
        <row r="208">
          <cell r="A208">
            <v>30045</v>
          </cell>
          <cell r="B208" t="str">
            <v>Zone 5</v>
          </cell>
        </row>
        <row r="209">
          <cell r="A209">
            <v>30046</v>
          </cell>
          <cell r="B209" t="str">
            <v>Zone 5</v>
          </cell>
        </row>
        <row r="210">
          <cell r="A210">
            <v>30047</v>
          </cell>
          <cell r="B210" t="str">
            <v>Zone 5</v>
          </cell>
        </row>
        <row r="211">
          <cell r="A211">
            <v>30052</v>
          </cell>
          <cell r="B211" t="str">
            <v>Zone 5</v>
          </cell>
        </row>
        <row r="212">
          <cell r="A212">
            <v>30054</v>
          </cell>
          <cell r="B212" t="str">
            <v>Zone 5</v>
          </cell>
        </row>
        <row r="213">
          <cell r="A213">
            <v>30055</v>
          </cell>
          <cell r="B213" t="str">
            <v>Zone 5</v>
          </cell>
        </row>
        <row r="214">
          <cell r="A214">
            <v>30056</v>
          </cell>
          <cell r="B214" t="str">
            <v>Zone 5</v>
          </cell>
        </row>
        <row r="215">
          <cell r="A215">
            <v>30058</v>
          </cell>
          <cell r="B215" t="str">
            <v>Zone 5</v>
          </cell>
        </row>
        <row r="216">
          <cell r="A216">
            <v>30072</v>
          </cell>
          <cell r="B216" t="str">
            <v>Zone 5</v>
          </cell>
        </row>
        <row r="217">
          <cell r="A217">
            <v>30078</v>
          </cell>
          <cell r="B217" t="str">
            <v>Zone 5</v>
          </cell>
        </row>
        <row r="218">
          <cell r="A218">
            <v>30079</v>
          </cell>
          <cell r="B218" t="str">
            <v>Zone 5</v>
          </cell>
        </row>
        <row r="219">
          <cell r="A219">
            <v>30083</v>
          </cell>
          <cell r="B219" t="str">
            <v>Zone 5</v>
          </cell>
        </row>
        <row r="220">
          <cell r="A220">
            <v>30084</v>
          </cell>
          <cell r="B220" t="str">
            <v>Zone 5</v>
          </cell>
        </row>
        <row r="221">
          <cell r="A221">
            <v>30087</v>
          </cell>
          <cell r="B221" t="str">
            <v>Zone 5</v>
          </cell>
        </row>
        <row r="222">
          <cell r="A222">
            <v>30088</v>
          </cell>
          <cell r="B222" t="str">
            <v>Zone 5</v>
          </cell>
        </row>
        <row r="223">
          <cell r="A223">
            <v>30093</v>
          </cell>
          <cell r="B223" t="str">
            <v>Zone 5</v>
          </cell>
        </row>
        <row r="224">
          <cell r="A224">
            <v>30319</v>
          </cell>
          <cell r="B224" t="str">
            <v>Zone 5</v>
          </cell>
        </row>
        <row r="225">
          <cell r="A225">
            <v>30329</v>
          </cell>
          <cell r="B225" t="str">
            <v>Zone 5</v>
          </cell>
        </row>
        <row r="226">
          <cell r="A226">
            <v>30345</v>
          </cell>
          <cell r="B226" t="str">
            <v>Zone 5</v>
          </cell>
        </row>
        <row r="227">
          <cell r="A227">
            <v>30517</v>
          </cell>
          <cell r="B227" t="str">
            <v>Zone 5</v>
          </cell>
        </row>
        <row r="228">
          <cell r="A228">
            <v>30519</v>
          </cell>
          <cell r="B228" t="str">
            <v>Zone 5</v>
          </cell>
        </row>
        <row r="229">
          <cell r="A229">
            <v>30548</v>
          </cell>
          <cell r="B229" t="str">
            <v>Zone 5</v>
          </cell>
        </row>
        <row r="230">
          <cell r="A230">
            <v>30549</v>
          </cell>
          <cell r="B230" t="str">
            <v>Zone 5</v>
          </cell>
        </row>
        <row r="231">
          <cell r="A231">
            <v>30567</v>
          </cell>
          <cell r="B231" t="str">
            <v>Zone 5</v>
          </cell>
        </row>
        <row r="232">
          <cell r="A232">
            <v>30601</v>
          </cell>
          <cell r="B232" t="str">
            <v>Zone 5</v>
          </cell>
        </row>
        <row r="233">
          <cell r="A233">
            <v>30602</v>
          </cell>
          <cell r="B233" t="str">
            <v>Zone 5</v>
          </cell>
        </row>
        <row r="234">
          <cell r="A234">
            <v>30603</v>
          </cell>
          <cell r="B234" t="str">
            <v>Zone 5</v>
          </cell>
        </row>
        <row r="235">
          <cell r="A235">
            <v>30604</v>
          </cell>
          <cell r="B235" t="str">
            <v>Zone 5</v>
          </cell>
        </row>
        <row r="236">
          <cell r="A236">
            <v>30605</v>
          </cell>
          <cell r="B236" t="str">
            <v>Zone 5</v>
          </cell>
        </row>
        <row r="237">
          <cell r="A237">
            <v>30606</v>
          </cell>
          <cell r="B237" t="str">
            <v>Zone 5</v>
          </cell>
        </row>
        <row r="238">
          <cell r="A238">
            <v>30607</v>
          </cell>
          <cell r="B238" t="str">
            <v>Zone 5</v>
          </cell>
        </row>
        <row r="239">
          <cell r="A239">
            <v>30608</v>
          </cell>
          <cell r="B239" t="str">
            <v>Zone 5</v>
          </cell>
        </row>
        <row r="240">
          <cell r="A240">
            <v>30609</v>
          </cell>
          <cell r="B240" t="str">
            <v>Zone 5</v>
          </cell>
        </row>
        <row r="241">
          <cell r="A241">
            <v>30612</v>
          </cell>
          <cell r="B241" t="str">
            <v>Zone 5</v>
          </cell>
        </row>
        <row r="242">
          <cell r="A242">
            <v>30619</v>
          </cell>
          <cell r="B242" t="str">
            <v>Zone 5</v>
          </cell>
        </row>
        <row r="243">
          <cell r="A243">
            <v>30620</v>
          </cell>
          <cell r="B243" t="str">
            <v>Zone 5</v>
          </cell>
        </row>
        <row r="244">
          <cell r="A244">
            <v>30621</v>
          </cell>
          <cell r="B244" t="str">
            <v>Zone 5</v>
          </cell>
        </row>
        <row r="245">
          <cell r="A245">
            <v>30622</v>
          </cell>
          <cell r="B245" t="str">
            <v>Zone 5</v>
          </cell>
        </row>
        <row r="246">
          <cell r="A246">
            <v>30623</v>
          </cell>
          <cell r="B246" t="str">
            <v>Zone 5</v>
          </cell>
        </row>
        <row r="247">
          <cell r="A247">
            <v>30628</v>
          </cell>
          <cell r="B247" t="str">
            <v>Zone 5</v>
          </cell>
        </row>
        <row r="248">
          <cell r="A248">
            <v>30638</v>
          </cell>
          <cell r="B248" t="str">
            <v>Zone 5</v>
          </cell>
        </row>
        <row r="249">
          <cell r="A249">
            <v>30641</v>
          </cell>
          <cell r="B249" t="str">
            <v>Zone 5</v>
          </cell>
        </row>
        <row r="250">
          <cell r="A250">
            <v>30645</v>
          </cell>
          <cell r="B250" t="str">
            <v>Zone 5</v>
          </cell>
        </row>
        <row r="251">
          <cell r="A251">
            <v>30650</v>
          </cell>
          <cell r="B251" t="str">
            <v>Zone 5</v>
          </cell>
        </row>
        <row r="252">
          <cell r="A252">
            <v>30655</v>
          </cell>
          <cell r="B252" t="str">
            <v>Zone 5</v>
          </cell>
        </row>
        <row r="253">
          <cell r="A253">
            <v>30656</v>
          </cell>
          <cell r="B253" t="str">
            <v>Zone 5</v>
          </cell>
        </row>
        <row r="254">
          <cell r="A254">
            <v>30663</v>
          </cell>
          <cell r="B254" t="str">
            <v>Zone 5</v>
          </cell>
        </row>
        <row r="255">
          <cell r="A255">
            <v>30666</v>
          </cell>
          <cell r="B255" t="str">
            <v>Zone 5</v>
          </cell>
        </row>
        <row r="256">
          <cell r="A256">
            <v>30677</v>
          </cell>
          <cell r="B256" t="str">
            <v>Zone 5</v>
          </cell>
        </row>
        <row r="257">
          <cell r="A257">
            <v>30680</v>
          </cell>
          <cell r="B257" t="str">
            <v>Zone 5</v>
          </cell>
        </row>
        <row r="258">
          <cell r="A258">
            <v>30683</v>
          </cell>
          <cell r="B258" t="str">
            <v>Zone 5</v>
          </cell>
        </row>
        <row r="259">
          <cell r="A259">
            <v>31085</v>
          </cell>
          <cell r="B259" t="str">
            <v>Zone 5</v>
          </cell>
        </row>
        <row r="260">
          <cell r="A260">
            <v>31297</v>
          </cell>
          <cell r="B260" t="str">
            <v>ATL Outer Area</v>
          </cell>
        </row>
        <row r="261">
          <cell r="A261">
            <v>31296</v>
          </cell>
          <cell r="B261" t="str">
            <v>ATL Outer Area</v>
          </cell>
        </row>
        <row r="262">
          <cell r="A262">
            <v>31295</v>
          </cell>
          <cell r="B262" t="str">
            <v>ATL Outer Area</v>
          </cell>
        </row>
        <row r="263">
          <cell r="A263">
            <v>31294</v>
          </cell>
          <cell r="B263" t="str">
            <v>ATL Outer Area</v>
          </cell>
        </row>
        <row r="264">
          <cell r="A264">
            <v>31221</v>
          </cell>
          <cell r="B264" t="str">
            <v>ATL Outer Area</v>
          </cell>
        </row>
        <row r="265">
          <cell r="A265">
            <v>31220</v>
          </cell>
          <cell r="B265" t="str">
            <v>ATL Outer Area</v>
          </cell>
        </row>
        <row r="266">
          <cell r="A266">
            <v>31217</v>
          </cell>
          <cell r="B266" t="str">
            <v>ATL Outer Area</v>
          </cell>
        </row>
        <row r="267">
          <cell r="A267">
            <v>31216</v>
          </cell>
          <cell r="B267" t="str">
            <v>ATL Outer Area</v>
          </cell>
        </row>
        <row r="268">
          <cell r="A268">
            <v>31213</v>
          </cell>
          <cell r="B268" t="str">
            <v>ATL Outer Area</v>
          </cell>
        </row>
        <row r="269">
          <cell r="A269">
            <v>31211</v>
          </cell>
          <cell r="B269" t="str">
            <v>ATL Outer Area</v>
          </cell>
        </row>
        <row r="270">
          <cell r="A270">
            <v>31210</v>
          </cell>
          <cell r="B270" t="str">
            <v>ATL Outer Area</v>
          </cell>
        </row>
        <row r="271">
          <cell r="A271">
            <v>31209</v>
          </cell>
          <cell r="B271" t="str">
            <v>ATL Outer Area</v>
          </cell>
        </row>
        <row r="272">
          <cell r="A272">
            <v>31208</v>
          </cell>
          <cell r="B272" t="str">
            <v>ATL Outer Area</v>
          </cell>
        </row>
        <row r="273">
          <cell r="A273">
            <v>31207</v>
          </cell>
          <cell r="B273" t="str">
            <v>ATL Outer Area</v>
          </cell>
        </row>
        <row r="274">
          <cell r="A274">
            <v>31206</v>
          </cell>
          <cell r="B274" t="str">
            <v>ATL Outer Area</v>
          </cell>
        </row>
        <row r="275">
          <cell r="A275">
            <v>31205</v>
          </cell>
          <cell r="B275" t="str">
            <v>ATL Outer Area</v>
          </cell>
        </row>
        <row r="276">
          <cell r="A276">
            <v>31204</v>
          </cell>
          <cell r="B276" t="str">
            <v>ATL Outer Area</v>
          </cell>
        </row>
        <row r="277">
          <cell r="A277">
            <v>31203</v>
          </cell>
          <cell r="B277" t="str">
            <v>ATL Outer Area</v>
          </cell>
        </row>
        <row r="278">
          <cell r="A278">
            <v>31202</v>
          </cell>
          <cell r="B278" t="str">
            <v>ATL Outer Area</v>
          </cell>
        </row>
        <row r="279">
          <cell r="A279">
            <v>31201</v>
          </cell>
          <cell r="B279" t="str">
            <v>ATL Outer Area</v>
          </cell>
        </row>
        <row r="280">
          <cell r="A280">
            <v>31099</v>
          </cell>
          <cell r="B280" t="str">
            <v>ATL Outer Area</v>
          </cell>
        </row>
        <row r="281">
          <cell r="A281">
            <v>31098</v>
          </cell>
          <cell r="B281" t="str">
            <v>ATL Outer Area</v>
          </cell>
        </row>
        <row r="282">
          <cell r="A282">
            <v>31095</v>
          </cell>
          <cell r="B282" t="str">
            <v>ATL Outer Area</v>
          </cell>
        </row>
        <row r="283">
          <cell r="A283">
            <v>31093</v>
          </cell>
          <cell r="B283" t="str">
            <v>ATL Outer Area</v>
          </cell>
        </row>
        <row r="284">
          <cell r="A284">
            <v>31088</v>
          </cell>
          <cell r="B284" t="str">
            <v>ATL Outer Area</v>
          </cell>
        </row>
        <row r="285">
          <cell r="A285">
            <v>31086</v>
          </cell>
          <cell r="B285" t="str">
            <v>ATL Outer Area</v>
          </cell>
        </row>
        <row r="286">
          <cell r="A286">
            <v>31069</v>
          </cell>
          <cell r="B286" t="str">
            <v>ATL Outer Area</v>
          </cell>
        </row>
        <row r="287">
          <cell r="A287">
            <v>31066</v>
          </cell>
          <cell r="B287" t="str">
            <v>ATL Outer Area</v>
          </cell>
        </row>
        <row r="288">
          <cell r="A288">
            <v>31052</v>
          </cell>
          <cell r="B288" t="str">
            <v>ATL Outer Area</v>
          </cell>
        </row>
        <row r="289">
          <cell r="A289">
            <v>31050</v>
          </cell>
          <cell r="B289" t="str">
            <v>ATL Outer Area</v>
          </cell>
        </row>
        <row r="290">
          <cell r="A290">
            <v>31047</v>
          </cell>
          <cell r="B290" t="str">
            <v>ATL Outer Area</v>
          </cell>
        </row>
        <row r="291">
          <cell r="A291">
            <v>31046</v>
          </cell>
          <cell r="B291" t="str">
            <v>ATL Outer Area</v>
          </cell>
        </row>
        <row r="292">
          <cell r="A292">
            <v>31044</v>
          </cell>
          <cell r="B292" t="str">
            <v>ATL Outer Area</v>
          </cell>
        </row>
        <row r="293">
          <cell r="A293">
            <v>31032</v>
          </cell>
          <cell r="B293" t="str">
            <v>ATL Outer Area</v>
          </cell>
        </row>
        <row r="294">
          <cell r="A294">
            <v>31030</v>
          </cell>
          <cell r="B294" t="str">
            <v>ATL Outer Area</v>
          </cell>
        </row>
        <row r="295">
          <cell r="A295">
            <v>31029</v>
          </cell>
          <cell r="B295" t="str">
            <v>ATL Outer Area</v>
          </cell>
        </row>
        <row r="296">
          <cell r="A296">
            <v>31028</v>
          </cell>
          <cell r="B296" t="str">
            <v>ATL Outer Area</v>
          </cell>
        </row>
        <row r="297">
          <cell r="A297">
            <v>31020</v>
          </cell>
          <cell r="B297" t="str">
            <v>ATL Outer Area</v>
          </cell>
        </row>
        <row r="298">
          <cell r="A298">
            <v>31013</v>
          </cell>
          <cell r="B298" t="str">
            <v>ATL Outer Area</v>
          </cell>
        </row>
        <row r="299">
          <cell r="A299">
            <v>31008</v>
          </cell>
          <cell r="B299" t="str">
            <v>ATL Outer Area</v>
          </cell>
        </row>
        <row r="300">
          <cell r="A300">
            <v>31005</v>
          </cell>
          <cell r="B300" t="str">
            <v>ATL Outer Area</v>
          </cell>
        </row>
        <row r="301">
          <cell r="A301">
            <v>31004</v>
          </cell>
          <cell r="B301" t="str">
            <v>ATL Outer Area</v>
          </cell>
        </row>
        <row r="302">
          <cell r="A302">
            <v>30204</v>
          </cell>
          <cell r="B302" t="str">
            <v>ATL Outer Area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박용배/책임/CS Data Analytics팀" refreshedDate="46230.64214502315" createdVersion="8" refreshedVersion="8" minRefreshableVersion="3" recordCount="46" xr:uid="{D23178C8-B372-4D0C-8E3D-2492149780A2}">
  <cacheSource type="worksheet">
    <worksheetSource ref="A1:AW47" sheet="_SELECT_T21_CORP_STD1_NAME_AS_S"/>
  </cacheSource>
  <cacheFields count="49">
    <cacheField name="SUBSIDIARY_NAME" numFmtId="0">
      <sharedItems/>
    </cacheField>
    <cacheField name="STRATEGIC_CITY_NAME" numFmtId="0">
      <sharedItems/>
    </cacheField>
    <cacheField name="SVC_ENGINEER_CODE" numFmtId="0">
      <sharedItems containsMixedTypes="1" containsNumber="1" containsInteger="1" minValue="40324200" maxValue="40324200"/>
    </cacheField>
    <cacheField name="SVC_ENGINEER_NAME" numFmtId="0">
      <sharedItems count="11">
        <s v="Yu Zheng"/>
        <s v="Frank Hooks"/>
        <s v="Winston Perez"/>
        <s v="Richard Grant"/>
        <s v="John Park"/>
        <s v="Gilbert Dupree"/>
        <s v="Marcus Harmon"/>
        <s v="RUDY EDOLE"/>
        <s v="Adolph Scarlett"/>
        <s v="Nicholas Foskin"/>
        <s v="James Motos"/>
      </sharedItems>
    </cacheField>
    <cacheField name="SERVICE_CENTER_TYPE" numFmtId="0">
      <sharedItems/>
    </cacheField>
    <cacheField name="GERP_INPUT_MONTH_YYYYMM_LAST" numFmtId="0">
      <sharedItems containsMixedTypes="1" containsNumber="1" containsInteger="1" minValue="202607" maxValue="202607"/>
    </cacheField>
    <cacheField name="MODEL_CODE" numFmtId="0">
      <sharedItems/>
    </cacheField>
    <cacheField name="SUFFIX_CODE" numFmtId="0">
      <sharedItems/>
    </cacheField>
    <cacheField name="SERIAL_NO" numFmtId="0">
      <sharedItems/>
    </cacheField>
    <cacheField name="PARTS_QTY" numFmtId="0">
      <sharedItems containsSemiMixedTypes="0" containsString="0" containsNumber="1" containsInteger="1" minValue="0" maxValue="2"/>
    </cacheField>
    <cacheField name="SERVICE_PRODUCT_GROUP_CODE" numFmtId="0">
      <sharedItems/>
    </cacheField>
    <cacheField name="SERVICE_PRODUCT_GROUP_NAME" numFmtId="0">
      <sharedItems/>
    </cacheField>
    <cacheField name="SERVICE_PRODUCT_CODE" numFmtId="0">
      <sharedItems/>
    </cacheField>
    <cacheField name="SERVICE_PRODUCT_NAME" numFmtId="0">
      <sharedItems/>
    </cacheField>
    <cacheField name="DETAIL_SYMPTOM_CODE" numFmtId="0">
      <sharedItems containsBlank="1"/>
    </cacheField>
    <cacheField name="GSFS_RECEIPT_NO" numFmtId="0">
      <sharedItems/>
    </cacheField>
    <cacheField name="REPAIR_RECEIPT_DATE_YYYYMMDD" numFmtId="0">
      <sharedItems containsSemiMixedTypes="0" containsString="0" containsNumber="1" containsInteger="1" minValue="20260630" maxValue="20260724"/>
    </cacheField>
    <cacheField name="REPAIR_RECEIPT_TIMESTAMP" numFmtId="47">
      <sharedItems containsSemiMixedTypes="0" containsNonDate="0" containsDate="1" containsString="0" minDate="2026-06-30T16:51:00" maxDate="2026-07-24T08:21:00"/>
    </cacheField>
    <cacheField name="REPAIR_END_DATE_YYYYMMDD" numFmtId="0">
      <sharedItems containsMixedTypes="1" containsNumber="1" containsInteger="1" minValue="20260708" maxValue="20260725"/>
    </cacheField>
    <cacheField name="REPAIR_END_TIMESTAMP" numFmtId="0">
      <sharedItems containsNonDate="0" containsDate="1" containsString="0" containsBlank="1" minDate="2026-07-08T00:00:00" maxDate="2026-07-25T12:16:00"/>
    </cacheField>
    <cacheField name="FIRST_PROMISE_TIMESTAMP" numFmtId="47">
      <sharedItems containsSemiMixedTypes="0" containsNonDate="0" containsDate="1" containsString="0" minDate="2026-07-08T00:00:00" maxDate="2026-07-28T00:00:00"/>
    </cacheField>
    <cacheField name="PROMISE_DATE" numFmtId="0">
      <sharedItems containsSemiMixedTypes="0" containsString="0" containsNumber="1" containsInteger="1" minValue="20260724" maxValue="20260727" count="3">
        <n v="20260724"/>
        <n v="20260727"/>
        <n v="20260725"/>
      </sharedItems>
    </cacheField>
    <cacheField name="PROMISE_TIMESTAMP" numFmtId="47">
      <sharedItems containsSemiMixedTypes="0" containsNonDate="0" containsDate="1" containsString="0" minDate="2026-07-24T00:00:00" maxDate="2026-07-28T00:00:00"/>
    </cacheField>
    <cacheField name="BILL_TO_CODE" numFmtId="0">
      <sharedItems/>
    </cacheField>
    <cacheField name="BILL_TO_NAME" numFmtId="0">
      <sharedItems/>
    </cacheField>
    <cacheField name="SHIP_TO_CODE" numFmtId="0">
      <sharedItems/>
    </cacheField>
    <cacheField name="PRODUCT3_CODE" numFmtId="0">
      <sharedItems/>
    </cacheField>
    <cacheField name="DIVISION_NAME" numFmtId="0">
      <sharedItems/>
    </cacheField>
    <cacheField name="SVC_TYPE_CODE" numFmtId="0">
      <sharedItems/>
    </cacheField>
    <cacheField name="SVC_RECEIPT_TYPE" numFmtId="0">
      <sharedItems/>
    </cacheField>
    <cacheField name="COMPANY_CODE" numFmtId="0">
      <sharedItems/>
    </cacheField>
    <cacheField name="SHIP_TO_FULL_NAME" numFmtId="0">
      <sharedItems/>
    </cacheField>
    <cacheField name="SVC_STATUS_CODE_GERP" numFmtId="0">
      <sharedItems/>
    </cacheField>
    <cacheField name="STRATEGIC_CITY_FLAG" numFmtId="0">
      <sharedItems/>
    </cacheField>
    <cacheField name="PARTS_NO" numFmtId="0">
      <sharedItems containsBlank="1"/>
    </cacheField>
    <cacheField name="STRATEGIC_CITY_PHASE" numFmtId="0">
      <sharedItems/>
    </cacheField>
    <cacheField name="SVC_CENTER_TYPE_CODE" numFmtId="0">
      <sharedItems containsSemiMixedTypes="0" containsString="0" containsNumber="1" containsInteger="1" minValue="2" maxValue="33"/>
    </cacheField>
    <cacheField name="RECEIPT_METHOD" numFmtId="0">
      <sharedItems/>
    </cacheField>
    <cacheField name="STATE_NAME" numFmtId="0">
      <sharedItems/>
    </cacheField>
    <cacheField name="CITY_NAME" numFmtId="0">
      <sharedItems/>
    </cacheField>
    <cacheField name="COUNTRY_NAME" numFmtId="0">
      <sharedItems/>
    </cacheField>
    <cacheField name="GERP_INPUT_DATE_YYYYMMDD_ID_LAST" numFmtId="0">
      <sharedItems containsMixedTypes="1" containsNumber="1" containsInteger="1" minValue="20260722" maxValue="20260725"/>
    </cacheField>
    <cacheField name="GERP_INPUT_TIMESTAMP_LAST" numFmtId="0">
      <sharedItems containsNonDate="0" containsDate="1" containsString="0" containsBlank="1" minDate="2026-07-22T14:57:22" maxDate="2026-07-25T22:15:35"/>
    </cacheField>
    <cacheField name="GSFS_RECEIPT_NO_COUNT" numFmtId="0">
      <sharedItems containsSemiMixedTypes="0" containsString="0" containsNumber="1" containsInteger="1" minValue="1" maxValue="1"/>
    </cacheField>
    <cacheField name="PARTS_QTY_1" numFmtId="0">
      <sharedItems containsSemiMixedTypes="0" containsString="0" containsNumber="1" containsInteger="1" minValue="0" maxValue="2"/>
    </cacheField>
    <cacheField name="GSFS_RECEIPT_NO_COUNT_1" numFmtId="0">
      <sharedItems containsSemiMixedTypes="0" containsString="0" containsNumber="1" containsInteger="1" minValue="1" maxValue="1"/>
    </cacheField>
    <cacheField name="POSTAL_CODE" numFmtId="0">
      <sharedItems containsSemiMixedTypes="0" containsString="0" containsNumber="1" containsInteger="1" minValue="30004" maxValue="30607"/>
    </cacheField>
    <cacheField name="ADDRESS_LINE1_INFO" numFmtId="0">
      <sharedItems/>
    </cacheField>
    <cacheField name="Zone" numFmtId="0">
      <sharedItems count="5">
        <s v="Zone 2"/>
        <s v="Zone 1"/>
        <s v="Zone 5"/>
        <s v="Zone 4"/>
        <s v="Zone 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s v="LGEAI"/>
    <s v="Atlanta, GA"/>
    <s v="AI102977"/>
    <x v="0"/>
    <s v="DMS"/>
    <s v="&lt;NULL&gt;"/>
    <s v="LRFVS3006D"/>
    <s v="ASBCNA0"/>
    <s v="110KRZH31477"/>
    <n v="1"/>
    <s v="REF"/>
    <s v="Refrigerator"/>
    <s v="FRD"/>
    <s v="French Door"/>
    <s v="1RRRKRL"/>
    <s v="RNN260720013659"/>
    <n v="20260720"/>
    <d v="2026-07-20T14:27:00"/>
    <n v="20260724"/>
    <d v="2026-07-24T13:16:00"/>
    <d v="2026-07-24T00:00:00"/>
    <x v="0"/>
    <d v="2026-07-24T00:00:00"/>
    <s v="US064923001B"/>
    <s v="One time_SVC"/>
    <s v="US0649230001S"/>
    <s v="RFBFFD"/>
    <s v="REF"/>
    <s v="IH"/>
    <s v="CIC Transfer"/>
    <s v="HS"/>
    <s v="One time_SVC"/>
    <s v="&lt;NULL&gt;"/>
    <s v="Y"/>
    <s v="EBR88309734"/>
    <s v="2025_P1"/>
    <n v="2"/>
    <s v="Live Chat"/>
    <s v="GA"/>
    <s v="BALL GROUND"/>
    <s v="USA"/>
    <s v="&lt;NULL&gt;"/>
    <m/>
    <n v="1"/>
    <n v="1"/>
    <n v="1"/>
    <n v="30107"/>
    <s v="291 HAMPTON LN"/>
    <x v="0"/>
  </r>
  <r>
    <s v="LGEAI"/>
    <s v="Atlanta, GA"/>
    <s v="AI105116"/>
    <x v="1"/>
    <s v="DMS"/>
    <n v="202607"/>
    <s v="LRFXS2503S"/>
    <s v="ASTCNA0"/>
    <s v="109MRBW0H589"/>
    <n v="1"/>
    <s v="REF"/>
    <s v="Refrigerator"/>
    <s v="FRD"/>
    <s v="French Door"/>
    <s v="1PPPAPD"/>
    <s v="RNN260720011991"/>
    <n v="20260720"/>
    <d v="2026-07-20T12:04:00"/>
    <n v="20260724"/>
    <d v="2026-07-24T21:59:00"/>
    <d v="2026-07-24T00:00:00"/>
    <x v="0"/>
    <d v="2026-07-24T00:00:00"/>
    <s v="US064923001B"/>
    <s v="One time_SVC"/>
    <s v="US0649230001S"/>
    <s v="RFBFFD"/>
    <s v="REF"/>
    <s v="IH"/>
    <s v="CIC Transfer"/>
    <s v="HS"/>
    <s v="One time_SVC"/>
    <s v="OPEN"/>
    <s v="Y"/>
    <s v="TCA36811409"/>
    <s v="2025_P1"/>
    <n v="2"/>
    <s v="Phone"/>
    <s v="GA"/>
    <s v="MARIETTA"/>
    <s v="USA"/>
    <n v="20260725"/>
    <d v="2026-07-25T01:06:10"/>
    <n v="1"/>
    <n v="1"/>
    <n v="1"/>
    <n v="30068"/>
    <s v="1167 Fairfield Drive"/>
    <x v="0"/>
  </r>
  <r>
    <s v="LGEAI"/>
    <s v="Atlanta, GA"/>
    <s v="AI105116"/>
    <x v="1"/>
    <s v="DMS"/>
    <s v="&lt;NULL&gt;"/>
    <s v="LFXS26973S"/>
    <s v="ASTCNA1"/>
    <s v="112KREL01212"/>
    <n v="1"/>
    <s v="REF"/>
    <s v="Refrigerator"/>
    <s v="FRD"/>
    <s v="French Door"/>
    <m/>
    <s v="RNN260720012372"/>
    <n v="20260720"/>
    <d v="2026-07-20T12:40:01"/>
    <n v="20260724"/>
    <d v="2026-07-24T14:57:00"/>
    <d v="2026-07-24T00:00:00"/>
    <x v="0"/>
    <d v="2026-07-24T00:00:00"/>
    <s v="US064923001B"/>
    <s v="One time_SVC"/>
    <s v="US0649230001S"/>
    <s v="RFBFFD"/>
    <s v="REF"/>
    <s v="IH"/>
    <s v="CIC Transfer"/>
    <s v="HS"/>
    <s v="One time_SVC"/>
    <s v="&lt;NULL&gt;"/>
    <s v="Y"/>
    <s v="ABA74248424"/>
    <s v="2025_P1"/>
    <n v="2"/>
    <s v="Phone"/>
    <s v="GA"/>
    <s v="CARROLLTON"/>
    <s v="USA"/>
    <s v="&lt;NULL&gt;"/>
    <m/>
    <n v="1"/>
    <n v="1"/>
    <n v="1"/>
    <n v="30117"/>
    <s v="1228 OAK GROVE CHURCH RD"/>
    <x v="1"/>
  </r>
  <r>
    <s v="LGEAI"/>
    <s v="Atlanta, GA"/>
    <s v="AI102315"/>
    <x v="2"/>
    <s v="DMS"/>
    <s v="&lt;NULL&gt;"/>
    <s v="LRMDS3006S"/>
    <s v="ASTCNA0"/>
    <s v="310KRCFKE107"/>
    <n v="1"/>
    <s v="REF"/>
    <s v="Refrigerator"/>
    <s v="FRD"/>
    <s v="French Door"/>
    <s v="1PPPDPT"/>
    <s v="RNN260720010588"/>
    <n v="20260720"/>
    <d v="2026-07-20T10:15:00"/>
    <n v="20260724"/>
    <d v="2026-07-24T09:39:00"/>
    <d v="2026-07-24T00:00:00"/>
    <x v="0"/>
    <d v="2026-07-24T00:00:00"/>
    <s v="US064923001B"/>
    <s v="One time_SVC"/>
    <s v="US0649230001S"/>
    <s v="RFBFFD"/>
    <s v="REF"/>
    <s v="IH"/>
    <s v="CIC Transfer"/>
    <s v="HS"/>
    <s v="One time_SVC"/>
    <s v="&lt;NULL&gt;"/>
    <s v="Y"/>
    <s v="CSP30272608"/>
    <s v="2025_P1"/>
    <n v="2"/>
    <s v="Others"/>
    <s v="GA"/>
    <s v="ATHENS"/>
    <s v="USA"/>
    <s v="&lt;NULL&gt;"/>
    <m/>
    <n v="1"/>
    <n v="1"/>
    <n v="1"/>
    <n v="30601"/>
    <s v="325 Old Winterville Rd"/>
    <x v="2"/>
  </r>
  <r>
    <s v="LGEAI"/>
    <s v="Atlanta, GA"/>
    <s v="AI103317"/>
    <x v="3"/>
    <s v="DMS"/>
    <s v="&lt;NULL&gt;"/>
    <s v="LRMXS2806S"/>
    <s v="ASTCNA1"/>
    <s v="403KRDJMB706"/>
    <n v="1"/>
    <s v="REF"/>
    <s v="Refrigerator"/>
    <s v="FRD"/>
    <s v="French Door"/>
    <m/>
    <s v="RNN260716095705"/>
    <n v="20260716"/>
    <d v="2026-07-16T12:03:00"/>
    <n v="20260724"/>
    <d v="2026-07-24T15:40:00"/>
    <d v="2026-07-21T00:00:00"/>
    <x v="0"/>
    <d v="2026-07-24T00:00:00"/>
    <s v="US064923001B"/>
    <s v="One time_SVC"/>
    <s v="US0649230001S"/>
    <s v="RFBFFD"/>
    <s v="REF"/>
    <s v="IH"/>
    <s v="CIC Transfer"/>
    <s v="HS"/>
    <s v="One time_SVC"/>
    <s v="&lt;NULL&gt;"/>
    <s v="Y"/>
    <s v="AJU73672530"/>
    <s v="2025_P1"/>
    <n v="2"/>
    <s v="Phone"/>
    <s v="GA"/>
    <s v="MCDONOUGH"/>
    <s v="USA"/>
    <s v="&lt;NULL&gt;"/>
    <m/>
    <n v="1"/>
    <n v="1"/>
    <n v="1"/>
    <n v="30253"/>
    <s v="140 THOMAS JEFFERSON DR"/>
    <x v="3"/>
  </r>
  <r>
    <s v="LGEAI"/>
    <s v="Atlanta, GA"/>
    <n v="40324200"/>
    <x v="4"/>
    <s v="DMS2"/>
    <s v="&lt;NULL&gt;"/>
    <s v="LDPM6762S"/>
    <s v="ASSESNA"/>
    <s v="507KWVQ28911"/>
    <n v="0"/>
    <s v="WM"/>
    <s v="Washing Machine"/>
    <s v="DWM"/>
    <s v="Dish Washer"/>
    <s v="1AFAAAA"/>
    <s v="RNN260724036763"/>
    <n v="20260724"/>
    <d v="2026-07-24T08:21:00"/>
    <s v="&lt;NULL&gt;"/>
    <m/>
    <d v="2026-07-27T00:00:00"/>
    <x v="1"/>
    <d v="2026-07-27T00:00:00"/>
    <s v="US069937001B"/>
    <s v="National Plat"/>
    <s v="40324200-S"/>
    <s v="WMWKWK"/>
    <s v="Dishwasher"/>
    <s v="IH"/>
    <s v="CIC Transfer"/>
    <s v="HS"/>
    <s v="(S6)National Platinum Service, Inc"/>
    <s v="&lt;NULL&gt;"/>
    <s v="Y"/>
    <m/>
    <s v="2025_P1"/>
    <n v="33"/>
    <s v="Email"/>
    <s v="GA"/>
    <s v="ALPHARETTA"/>
    <s v="USA"/>
    <s v="&lt;NULL&gt;"/>
    <m/>
    <n v="1"/>
    <n v="0"/>
    <n v="1"/>
    <n v="30004"/>
    <s v="945 Wesbourough Pl"/>
    <x v="0"/>
  </r>
  <r>
    <s v="LGEAI"/>
    <s v="Atlanta, GA"/>
    <s v="AI102315"/>
    <x v="2"/>
    <s v="DMS"/>
    <n v="202607"/>
    <s v="LTGL6937D"/>
    <s v="BBDELGA"/>
    <s v="503KMQG2G404"/>
    <n v="1"/>
    <s v="COK"/>
    <s v="Cooking Appliance"/>
    <s v="ELR"/>
    <s v="Electric Oven range"/>
    <s v="3ACAEAA"/>
    <s v="RNN260720012076"/>
    <n v="20260720"/>
    <d v="2026-07-20T12:13:00"/>
    <n v="20260724"/>
    <d v="2026-07-24T14:58:00"/>
    <d v="2026-07-24T00:00:00"/>
    <x v="0"/>
    <d v="2026-07-24T00:00:00"/>
    <s v="US064923001B"/>
    <s v="One time_SVC"/>
    <s v="US0649230001S"/>
    <s v="CARNSR"/>
    <s v="Cooking"/>
    <s v="IH"/>
    <s v="CIC Transfer"/>
    <s v="HS"/>
    <s v="One time_SVC"/>
    <s v="OPEN"/>
    <s v="Y"/>
    <s v="MDQ64177106"/>
    <s v="2025_P1"/>
    <n v="2"/>
    <s v="Others"/>
    <s v="GA"/>
    <s v="BUFORD"/>
    <s v="USA"/>
    <n v="20260724"/>
    <d v="2026-07-24T22:01:56"/>
    <n v="1"/>
    <n v="1"/>
    <n v="1"/>
    <n v="30519"/>
    <s v="2383 Ivy crest dr"/>
    <x v="2"/>
  </r>
  <r>
    <s v="LGEAI"/>
    <s v="Atlanta, GA"/>
    <s v="AI102448"/>
    <x v="5"/>
    <s v="DMS"/>
    <s v="&lt;NULL&gt;"/>
    <s v="LRFDS3016D"/>
    <s v="ASBCNA0"/>
    <s v="103KRHX0P745"/>
    <n v="1"/>
    <s v="REF"/>
    <s v="Refrigerator"/>
    <s v="FRD"/>
    <s v="French Door"/>
    <s v="1FFFVFG"/>
    <s v="RNN260720012194"/>
    <n v="20260720"/>
    <d v="2026-07-20T12:23:00"/>
    <n v="20260724"/>
    <d v="2026-07-24T17:10:00"/>
    <d v="2026-07-24T00:00:00"/>
    <x v="0"/>
    <d v="2026-07-24T00:00:00"/>
    <s v="US064923001B"/>
    <s v="One time_SVC"/>
    <s v="US0649230001S"/>
    <s v="RFBFFD"/>
    <s v="REF"/>
    <s v="IH"/>
    <s v="CIC Transfer"/>
    <s v="HS"/>
    <s v="One time_SVC"/>
    <s v="&lt;NULL&gt;"/>
    <s v="Y"/>
    <s v="ADH73150210"/>
    <s v="2025_P1"/>
    <n v="2"/>
    <s v="Phone"/>
    <s v="GA"/>
    <s v="ROSWELL"/>
    <s v="USA"/>
    <s v="&lt;NULL&gt;"/>
    <m/>
    <n v="1"/>
    <n v="1"/>
    <n v="1"/>
    <n v="30075"/>
    <s v="310 Buckingham Forest Ct."/>
    <x v="0"/>
  </r>
  <r>
    <s v="LGEAI"/>
    <s v="Atlanta, GA"/>
    <s v="AI102087"/>
    <x v="6"/>
    <s v="DMS"/>
    <n v="202607"/>
    <s v="LFXS26596S"/>
    <s v="ASTCNA1"/>
    <s v="110KRRE0D566"/>
    <n v="2"/>
    <s v="REF"/>
    <s v="Refrigerator"/>
    <s v="FRD"/>
    <s v="French Door"/>
    <s v="1FFFVFH"/>
    <s v="RNN260720010479"/>
    <n v="20260720"/>
    <d v="2026-07-20T10:05:00"/>
    <n v="20260724"/>
    <d v="2026-07-24T00:00:00"/>
    <d v="2026-07-24T00:00:00"/>
    <x v="0"/>
    <d v="2026-07-24T00:00:00"/>
    <s v="US064923001B"/>
    <s v="One time_SVC"/>
    <s v="US0649230001S"/>
    <s v="RFBFFD"/>
    <s v="REF"/>
    <s v="IH"/>
    <s v="CIC Transfer"/>
    <s v="HS"/>
    <s v="One time_SVC"/>
    <s v="OPEN"/>
    <s v="Y"/>
    <s v="ADH73150210"/>
    <s v="2025_P1"/>
    <n v="2"/>
    <s v="Phone"/>
    <s v="GA"/>
    <s v="TEMPLE"/>
    <s v="USA"/>
    <n v="20260724"/>
    <d v="2026-07-24T22:01:56"/>
    <n v="1"/>
    <n v="2"/>
    <n v="1"/>
    <n v="30179"/>
    <s v="170 Amy Path"/>
    <x v="1"/>
  </r>
  <r>
    <s v="LGEAI"/>
    <s v="Atlanta, GA"/>
    <s v="AI102315"/>
    <x v="2"/>
    <s v="DMS"/>
    <n v="202607"/>
    <s v="LRFWS2906S"/>
    <s v="ASTCNA0"/>
    <s v="404KRGGLB327"/>
    <n v="1"/>
    <s v="REF"/>
    <s v="Refrigerator"/>
    <s v="FRD"/>
    <s v="French Door"/>
    <s v="2OOOYOU"/>
    <s v="RNN260719008515"/>
    <n v="20260719"/>
    <d v="2026-07-19T11:15:00"/>
    <n v="20260724"/>
    <d v="2026-07-24T10:35:00"/>
    <d v="2026-07-23T00:00:00"/>
    <x v="0"/>
    <d v="2026-07-24T00:00:00"/>
    <s v="US064923001B"/>
    <s v="One time_SVC"/>
    <s v="US0649230001S"/>
    <s v="RFBFFD"/>
    <s v="REF"/>
    <s v="IH"/>
    <s v="CIC Transfer"/>
    <s v="HS"/>
    <s v="One time_SVC"/>
    <s v="HOLD"/>
    <s v="Y"/>
    <s v="AEQ72909603"/>
    <s v="2025_P1"/>
    <n v="2"/>
    <s v="Email"/>
    <s v="GA"/>
    <s v="ATHENS"/>
    <s v="USA"/>
    <n v="20260724"/>
    <d v="2026-07-24T16:51:11"/>
    <n v="1"/>
    <n v="1"/>
    <n v="1"/>
    <n v="30607"/>
    <s v="161 Fritz Mar Ln"/>
    <x v="2"/>
  </r>
  <r>
    <s v="LGEAI"/>
    <s v="Atlanta, GA"/>
    <s v="AI103317"/>
    <x v="3"/>
    <s v="DMS"/>
    <s v="&lt;NULL&gt;"/>
    <s v="LDFN4542W"/>
    <s v="ABWESNA"/>
    <s v="204KWRE2M878"/>
    <n v="1"/>
    <s v="WM"/>
    <s v="Washing Machine"/>
    <s v="DWM"/>
    <s v="Dish Washer"/>
    <s v="1ADARAA"/>
    <s v="RNN260719008613"/>
    <n v="20260719"/>
    <d v="2026-07-19T12:08:00"/>
    <n v="20260724"/>
    <d v="2026-07-24T12:59:00"/>
    <d v="2026-07-24T00:00:00"/>
    <x v="0"/>
    <d v="2026-07-24T00:00:00"/>
    <s v="US064923001B"/>
    <s v="One time_SVC"/>
    <s v="US0649230001S"/>
    <s v="WMWKWK"/>
    <s v="Dishwasher"/>
    <s v="IH"/>
    <s v="CIC Transfer"/>
    <s v="HS"/>
    <s v="One time_SVC"/>
    <s v="&lt;NULL&gt;"/>
    <s v="Y"/>
    <s v="AGL75172633"/>
    <s v="2025_P1"/>
    <n v="2"/>
    <s v="Phone"/>
    <s v="GA"/>
    <s v="NEWNAN"/>
    <s v="USA"/>
    <s v="&lt;NULL&gt;"/>
    <m/>
    <n v="1"/>
    <n v="1"/>
    <n v="1"/>
    <n v="30265"/>
    <s v="104 Posey Rd"/>
    <x v="1"/>
  </r>
  <r>
    <s v="LGEAI"/>
    <s v="Atlanta, GA"/>
    <s v="AI102977"/>
    <x v="0"/>
    <s v="DMS"/>
    <n v="202607"/>
    <s v="LRDCS2603S"/>
    <s v="ASTCNA0"/>
    <s v="206MRWV0R849"/>
    <n v="1"/>
    <s v="REF"/>
    <s v="Refrigerator"/>
    <s v="REF"/>
    <s v="Top/Bottom Freezer"/>
    <s v="1GGGVGB"/>
    <s v="RNN260719008914"/>
    <n v="20260719"/>
    <d v="2026-07-19T15:24:00"/>
    <n v="20260724"/>
    <d v="2026-07-24T16:37:00"/>
    <d v="2026-07-24T00:00:00"/>
    <x v="0"/>
    <d v="2026-07-24T00:00:00"/>
    <s v="US064923001B"/>
    <s v="One time_SVC"/>
    <s v="US0649230001S"/>
    <s v="RFBFBF"/>
    <s v="REF"/>
    <s v="IH"/>
    <s v="CIC Transfer"/>
    <s v="HS"/>
    <s v="One time_SVC"/>
    <s v="OPEN"/>
    <s v="Y"/>
    <s v="ADH73150210"/>
    <s v="2025_P1"/>
    <n v="2"/>
    <s v="Phone"/>
    <s v="GA"/>
    <s v="DAWSONVILLE"/>
    <s v="USA"/>
    <n v="20260725"/>
    <d v="2026-07-25T22:15:35"/>
    <n v="1"/>
    <n v="1"/>
    <n v="1"/>
    <n v="30534"/>
    <s v="28 Buds Dr"/>
    <x v="4"/>
  </r>
  <r>
    <s v="LGEAI"/>
    <s v="Atlanta, GA"/>
    <s v="AI005576"/>
    <x v="7"/>
    <s v="DMS"/>
    <n v="202607"/>
    <s v="LRFCS25D3S"/>
    <s v="ASTCNA0"/>
    <s v="204MRAQ07784"/>
    <n v="1"/>
    <s v="REF"/>
    <s v="Refrigerator"/>
    <s v="FRD"/>
    <s v="French Door"/>
    <s v="1FFFVFH"/>
    <s v="RNN260720009855"/>
    <n v="20260720"/>
    <d v="2026-07-20T08:57:00"/>
    <n v="20260724"/>
    <d v="2026-07-24T00:00:00"/>
    <d v="2026-07-24T00:00:00"/>
    <x v="0"/>
    <d v="2026-07-24T00:00:00"/>
    <s v="US064923001B"/>
    <s v="One time_SVC"/>
    <s v="US0649230001S"/>
    <s v="RFBFFD"/>
    <s v="REF"/>
    <s v="IH"/>
    <s v="CIC Transfer"/>
    <s v="HS"/>
    <s v="One time_SVC"/>
    <s v="HOLD"/>
    <s v="Y"/>
    <s v="TCA37071511"/>
    <s v="2025_P1"/>
    <n v="2"/>
    <s v="Phone"/>
    <s v="GA"/>
    <s v="DECATUR"/>
    <s v="USA"/>
    <n v="20260725"/>
    <d v="2026-07-25T00:04:46"/>
    <n v="1"/>
    <n v="1"/>
    <n v="1"/>
    <n v="30033"/>
    <s v="3206 Rehoboth Dr"/>
    <x v="2"/>
  </r>
  <r>
    <s v="LGEAI"/>
    <s v="Atlanta, GA"/>
    <s v="AI103264"/>
    <x v="8"/>
    <s v="DMS"/>
    <n v="202607"/>
    <s v="LHSXS2706S"/>
    <s v="ASTCNA0"/>
    <s v="412MRVB2E911"/>
    <n v="0"/>
    <s v="REF"/>
    <s v="Refrigerator"/>
    <s v="SBS"/>
    <s v="Side by Side"/>
    <s v="1FFFVFH"/>
    <s v="RNN260720009630"/>
    <n v="20260720"/>
    <d v="2026-07-20T08:19:00"/>
    <n v="20260724"/>
    <d v="2026-07-24T12:56:00"/>
    <d v="2026-07-24T00:00:00"/>
    <x v="0"/>
    <d v="2026-07-24T00:00:00"/>
    <s v="US064923001B"/>
    <s v="One time_SVC"/>
    <s v="US0649230001S"/>
    <s v="RFSSSS"/>
    <s v="REF"/>
    <s v="IH"/>
    <s v="CIC Transfer"/>
    <s v="HS"/>
    <s v="One time_SVC"/>
    <s v="HOLD"/>
    <s v="Y"/>
    <m/>
    <s v="2025_P1"/>
    <n v="2"/>
    <s v="Phone"/>
    <s v="GA"/>
    <s v="CONYERS"/>
    <s v="USA"/>
    <n v="20260724"/>
    <d v="2026-07-24T22:01:56"/>
    <n v="1"/>
    <n v="0"/>
    <n v="1"/>
    <n v="30013"/>
    <s v="3518 Cherry Creek Ct SE"/>
    <x v="3"/>
  </r>
  <r>
    <s v="LGEAI"/>
    <s v="Atlanta, GA"/>
    <s v="AI103317"/>
    <x v="3"/>
    <s v="DMS"/>
    <n v="202607"/>
    <s v="LREN6325XE"/>
    <s v="QRSLLGA"/>
    <s v="508VMWC0E769"/>
    <n v="0"/>
    <s v="COK"/>
    <s v="Cooking Appliance"/>
    <s v="ELR"/>
    <s v="Electric Oven range"/>
    <s v="3AGACAA"/>
    <s v="RNN260630011961"/>
    <n v="20260630"/>
    <d v="2026-06-30T16:51:00"/>
    <n v="20260708"/>
    <d v="2026-07-08T00:00:00"/>
    <d v="2026-07-08T00:00:00"/>
    <x v="1"/>
    <d v="2026-07-27T08:00:00"/>
    <s v="US064923001B"/>
    <s v="One time_SVC"/>
    <s v="US0649230001S"/>
    <s v="CARNFR"/>
    <s v="Cooking"/>
    <s v="IH"/>
    <s v="CIC Transfer"/>
    <s v="HS"/>
    <s v="One time_SVC"/>
    <s v="OPEN"/>
    <s v="Y"/>
    <m/>
    <s v="2025_P1"/>
    <n v="2"/>
    <s v="Others"/>
    <s v="GA"/>
    <s v="COVINGTON"/>
    <s v="USA"/>
    <n v="20260722"/>
    <d v="2026-07-22T21:18:28"/>
    <n v="1"/>
    <n v="0"/>
    <n v="1"/>
    <n v="30014"/>
    <s v="9150 Spillers Dr SW"/>
    <x v="2"/>
  </r>
  <r>
    <s v="LGEAI"/>
    <s v="Atlanta, GA"/>
    <s v="AI103317"/>
    <x v="3"/>
    <s v="DMS"/>
    <n v="202607"/>
    <s v="LHSXS2706S"/>
    <s v="ASTCNA0"/>
    <s v="606MRYA0J810"/>
    <n v="0"/>
    <s v="REF"/>
    <s v="Refrigerator"/>
    <s v="SBS"/>
    <s v="Side by Side"/>
    <s v="1FFFVFH"/>
    <s v="RNN260719009174"/>
    <n v="20260719"/>
    <d v="2026-07-19T19:13:00"/>
    <n v="20260724"/>
    <d v="2026-07-24T14:18:00"/>
    <d v="2026-07-24T00:00:00"/>
    <x v="0"/>
    <d v="2026-07-24T00:00:00"/>
    <s v="US064923001B"/>
    <s v="One time_SVC"/>
    <s v="US0649230001S"/>
    <s v="RFSSSS"/>
    <s v="REF"/>
    <s v="IH"/>
    <s v="CIC Transfer"/>
    <s v="HS"/>
    <s v="One time_SVC"/>
    <s v="OPEN"/>
    <s v="Y"/>
    <m/>
    <s v="2025_P1"/>
    <n v="2"/>
    <s v="Phone"/>
    <s v="GA"/>
    <s v="ELLENWOOD"/>
    <s v="USA"/>
    <n v="20260724"/>
    <d v="2026-07-24T22:01:56"/>
    <n v="1"/>
    <n v="0"/>
    <n v="1"/>
    <n v="30294"/>
    <s v="4435 Westminster Dr"/>
    <x v="3"/>
  </r>
  <r>
    <s v="LGEAI"/>
    <s v="Atlanta, GA"/>
    <s v="AI105116"/>
    <x v="1"/>
    <s v="DMS"/>
    <s v="&lt;NULL&gt;"/>
    <s v="LMWC23626S"/>
    <s v="ASTCNA1"/>
    <s v="012KRCF2M091"/>
    <n v="1"/>
    <s v="REF"/>
    <s v="Refrigerator"/>
    <s v="FRD"/>
    <s v="French Door"/>
    <s v="1FFFVFH"/>
    <s v="RNN260721019079"/>
    <n v="20260721"/>
    <d v="2026-07-21T11:44:00"/>
    <n v="20260724"/>
    <d v="2026-07-24T14:00:00"/>
    <d v="2026-07-23T00:00:00"/>
    <x v="0"/>
    <d v="2026-07-24T00:00:00"/>
    <s v="US064923001B"/>
    <s v="One time_SVC"/>
    <s v="US0649230001S"/>
    <s v="RFBFFD"/>
    <s v="REF"/>
    <s v="IH"/>
    <s v="CIC Transfer"/>
    <s v="HS"/>
    <s v="One time_SVC"/>
    <s v="&lt;NULL&gt;"/>
    <s v="Y"/>
    <s v="EAU65058502"/>
    <s v="2025_P1"/>
    <n v="2"/>
    <s v="Phone"/>
    <s v="GA"/>
    <s v="AUSTELL"/>
    <s v="USA"/>
    <s v="&lt;NULL&gt;"/>
    <m/>
    <n v="1"/>
    <n v="1"/>
    <n v="1"/>
    <n v="30106"/>
    <s v="4387 HARRIS FARM CT"/>
    <x v="1"/>
  </r>
  <r>
    <s v="LGEAI"/>
    <s v="Atlanta, GA"/>
    <s v="AI102961"/>
    <x v="9"/>
    <s v="DMS"/>
    <n v="202607"/>
    <s v="WM4000HBA"/>
    <s v="ABLEVUS"/>
    <s v="510VWRG2G550"/>
    <n v="1"/>
    <s v="WM"/>
    <s v="Washing Machine"/>
    <s v="DRW"/>
    <s v="Front Loader"/>
    <s v="2HHHHHY"/>
    <s v="RNN260720012643"/>
    <n v="20260720"/>
    <d v="2026-07-20T12:52:00"/>
    <n v="20260724"/>
    <d v="2026-07-24T16:10:00"/>
    <d v="2026-07-24T00:00:00"/>
    <x v="0"/>
    <d v="2026-07-24T00:00:00"/>
    <s v="US064923001B"/>
    <s v="One time_SVC"/>
    <s v="US0649230001S"/>
    <s v="WMWLFL"/>
    <s v="W/M"/>
    <s v="IH"/>
    <s v="CIC Transfer"/>
    <s v="HS"/>
    <s v="One time_SVC"/>
    <s v="OPEN"/>
    <s v="Y"/>
    <s v="AEM74772904"/>
    <s v="2025_P1"/>
    <n v="2"/>
    <s v="Live Chat"/>
    <s v="GA"/>
    <s v="SUWANEE"/>
    <s v="USA"/>
    <n v="20260725"/>
    <d v="2026-07-25T16:03:06"/>
    <n v="1"/>
    <n v="1"/>
    <n v="1"/>
    <n v="30024"/>
    <s v="2429 Richmond Row Dr"/>
    <x v="0"/>
  </r>
  <r>
    <s v="LGEAI"/>
    <s v="Atlanta, GA"/>
    <s v="AI102961"/>
    <x v="9"/>
    <s v="DMS"/>
    <n v="202607"/>
    <s v="LRSOS2706S"/>
    <s v="ASTCNA0"/>
    <s v="509MRRH3Z958"/>
    <n v="0"/>
    <s v="REF"/>
    <s v="Refrigerator"/>
    <s v="SBS"/>
    <s v="Side by Side"/>
    <s v="1FFFWFJ"/>
    <s v="RNN260708054560"/>
    <n v="20260708"/>
    <d v="2026-07-08T16:04:00"/>
    <n v="20260724"/>
    <d v="2026-07-24T13:10:00"/>
    <d v="2026-07-13T00:00:00"/>
    <x v="0"/>
    <d v="2026-07-24T00:00:00"/>
    <s v="US064923001B"/>
    <s v="One time_SVC"/>
    <s v="US0649230001S"/>
    <s v="RFSSSS"/>
    <s v="REF"/>
    <s v="IH"/>
    <s v="CIC Transfer"/>
    <s v="HS"/>
    <s v="One time_SVC"/>
    <s v="OPEN"/>
    <s v="Y"/>
    <m/>
    <s v="2025_P1"/>
    <n v="2"/>
    <s v="Others"/>
    <s v="GA"/>
    <s v="DULUTH"/>
    <s v="USA"/>
    <n v="20260724"/>
    <d v="2026-07-24T18:56:15"/>
    <n v="1"/>
    <n v="0"/>
    <n v="1"/>
    <n v="30096"/>
    <s v="2128 ALNWICK DR"/>
    <x v="0"/>
  </r>
  <r>
    <s v="LGEAI"/>
    <s v="Atlanta, GA"/>
    <s v="AI103264"/>
    <x v="8"/>
    <s v="DMS"/>
    <s v="&lt;NULL&gt;"/>
    <s v="LSSG3019BD"/>
    <s v="BBDESTD"/>
    <s v="807KMVP08127"/>
    <n v="1"/>
    <s v="COK"/>
    <s v="Cooking Appliance"/>
    <s v="ELR"/>
    <s v="Electric Oven range"/>
    <m/>
    <s v="RNN260712071960"/>
    <n v="20260712"/>
    <d v="2026-07-12T20:15:01"/>
    <n v="20260724"/>
    <d v="2026-07-24T11:21:00"/>
    <d v="2026-07-17T00:00:00"/>
    <x v="0"/>
    <d v="2026-07-24T00:00:00"/>
    <s v="US064923001B"/>
    <s v="One time_SVC"/>
    <s v="US0649230001S"/>
    <s v="CARNSR"/>
    <s v="Cooking"/>
    <s v="IH"/>
    <s v="CIC Transfer"/>
    <s v="HS"/>
    <s v="One time_SVC"/>
    <s v="&lt;NULL&gt;"/>
    <s v="Y"/>
    <s v="ABF74495101"/>
    <s v="2025_P1"/>
    <n v="2"/>
    <s v="Phone"/>
    <s v="GA"/>
    <s v="PINE LAKE"/>
    <s v="USA"/>
    <s v="&lt;NULL&gt;"/>
    <m/>
    <n v="1"/>
    <n v="1"/>
    <n v="1"/>
    <n v="30083"/>
    <s v="466 kenilworth circle"/>
    <x v="2"/>
  </r>
  <r>
    <s v="LGEAI"/>
    <s v="Atlanta, GA"/>
    <s v="AI102315"/>
    <x v="2"/>
    <s v="DMS"/>
    <s v="&lt;NULL&gt;"/>
    <s v="LDT5678ST"/>
    <s v="ASTEEUS"/>
    <s v="907KWBY1P005"/>
    <n v="1"/>
    <s v="WM"/>
    <s v="Washing Machine"/>
    <s v="DWM"/>
    <s v="Dish Washer"/>
    <s v="1ADAEAB"/>
    <s v="RNN260720010450"/>
    <n v="20260720"/>
    <d v="2026-07-20T10:03:00"/>
    <n v="20260724"/>
    <d v="2026-07-24T16:07:00"/>
    <d v="2026-07-24T00:00:00"/>
    <x v="0"/>
    <d v="2026-07-24T00:00:00"/>
    <s v="US064923001B"/>
    <s v="One time_SVC"/>
    <s v="US0649230001S"/>
    <s v="WMWKWK"/>
    <s v="Dishwasher"/>
    <s v="IH"/>
    <s v="CIC Transfer"/>
    <s v="HS"/>
    <s v="One time_SVC"/>
    <s v="&lt;NULL&gt;"/>
    <s v="Y"/>
    <s v="AGM76429510"/>
    <s v="2025_P1"/>
    <n v="2"/>
    <s v="Phone"/>
    <s v="GA"/>
    <s v="BUFORD"/>
    <s v="USA"/>
    <s v="&lt;NULL&gt;"/>
    <m/>
    <n v="1"/>
    <n v="1"/>
    <n v="1"/>
    <n v="30519"/>
    <s v="2739 Kelly Cove Dr"/>
    <x v="2"/>
  </r>
  <r>
    <s v="LGEAI"/>
    <s v="Atlanta, GA"/>
    <s v="JMOTOS2"/>
    <x v="10"/>
    <s v="DMS2"/>
    <n v="202607"/>
    <s v="LDT5678ST"/>
    <s v="ASTEEUS"/>
    <s v="001KWWZ05945"/>
    <n v="1"/>
    <s v="WM"/>
    <s v="Washing Machine"/>
    <s v="DWM"/>
    <s v="Dish Washer"/>
    <s v="2ACAFAA"/>
    <s v="RNN260714085731"/>
    <n v="20260714"/>
    <d v="2026-07-14T17:07:00"/>
    <n v="20260720"/>
    <d v="2026-07-20T00:00:00"/>
    <d v="2026-07-15T00:00:00"/>
    <x v="0"/>
    <d v="2026-07-24T13:00:00"/>
    <s v="US069937001B"/>
    <s v="National Plat"/>
    <s v="40324201-S"/>
    <s v="WMWKWK"/>
    <s v="Dishwasher"/>
    <s v="IH"/>
    <s v="CIC Transfer"/>
    <s v="HS"/>
    <s v="(S6)National Platinum Service, Inc"/>
    <s v="HOLD"/>
    <s v="Y"/>
    <s v="ABT72989206"/>
    <s v="2025_P1"/>
    <n v="33"/>
    <s v="Phone"/>
    <s v="GA"/>
    <s v="JONESBORO"/>
    <s v="USA"/>
    <n v="20260722"/>
    <d v="2026-07-22T21:49:54"/>
    <n v="1"/>
    <n v="1"/>
    <n v="1"/>
    <n v="30236"/>
    <s v="2333 Forest DrivE"/>
    <x v="3"/>
  </r>
  <r>
    <s v="LGEAI"/>
    <s v="Atlanta, GA"/>
    <s v="JMOTOS2"/>
    <x v="10"/>
    <s v="DMS2"/>
    <n v="202607"/>
    <s v="DLE6100W"/>
    <s v="ABWEECI"/>
    <s v="402KWQWMP436"/>
    <n v="0"/>
    <s v="WM"/>
    <s v="Washing Machine"/>
    <s v="DRR"/>
    <s v="Laundry Dryer"/>
    <m/>
    <s v="RNN260718006263"/>
    <n v="20260718"/>
    <d v="2026-07-18T09:57:00"/>
    <n v="20260720"/>
    <d v="2026-07-20T00:00:00"/>
    <d v="2026-07-21T00:00:00"/>
    <x v="1"/>
    <d v="2026-07-27T00:00:00"/>
    <s v="US069937001B"/>
    <s v="National Plat"/>
    <s v="40324201-S"/>
    <s v="WMWRWR"/>
    <s v="W/M"/>
    <s v="IH"/>
    <s v="CIC Transfer"/>
    <s v="HS"/>
    <s v="(S6)National Platinum Service, Inc"/>
    <s v="HOLD"/>
    <s v="Y"/>
    <m/>
    <s v="2025_P1"/>
    <n v="33"/>
    <s v="Phone"/>
    <s v="GA"/>
    <s v="Fayetteville"/>
    <s v="USA"/>
    <n v="20260722"/>
    <d v="2026-07-22T14:57:22"/>
    <n v="1"/>
    <n v="0"/>
    <n v="1"/>
    <n v="30214"/>
    <s v="135 Wilmington Ln"/>
    <x v="3"/>
  </r>
  <r>
    <s v="LGEAI"/>
    <s v="Atlanta, GA"/>
    <s v="AI102448"/>
    <x v="5"/>
    <s v="DMS"/>
    <s v="&lt;NULL&gt;"/>
    <s v="LFXC22596S"/>
    <s v="ASTCNA1"/>
    <s v="905KRPV32984"/>
    <n v="1"/>
    <s v="REF"/>
    <s v="Refrigerator"/>
    <s v="FRD"/>
    <s v="French Door"/>
    <s v="1FFFVFH"/>
    <s v="RNN260720011806"/>
    <n v="20260720"/>
    <d v="2026-07-20T11:43:00"/>
    <n v="20260724"/>
    <d v="2026-07-24T14:44:00"/>
    <d v="2026-07-24T00:00:00"/>
    <x v="0"/>
    <d v="2026-07-24T00:00:00"/>
    <s v="US064923001B"/>
    <s v="One time_SVC"/>
    <s v="US0649230001S"/>
    <s v="RFBFFD"/>
    <s v="REF"/>
    <s v="IH"/>
    <s v="CIC Transfer"/>
    <s v="HS"/>
    <s v="One time_SVC"/>
    <s v="&lt;NULL&gt;"/>
    <s v="Y"/>
    <s v="TCA36811409"/>
    <s v="2025_P1"/>
    <n v="2"/>
    <s v="Phone"/>
    <s v="GA"/>
    <s v="ROSWELL"/>
    <s v="USA"/>
    <s v="&lt;NULL&gt;"/>
    <m/>
    <n v="1"/>
    <n v="1"/>
    <n v="1"/>
    <n v="30076"/>
    <s v="485 Hembree Holw"/>
    <x v="0"/>
  </r>
  <r>
    <s v="LGEAI"/>
    <s v="Atlanta, GA"/>
    <s v="AI005576"/>
    <x v="7"/>
    <s v="DMS"/>
    <s v="&lt;NULL&gt;"/>
    <s v="LTCS20020B"/>
    <s v="AWBCNA0"/>
    <s v="304MRVB0D103"/>
    <n v="1"/>
    <s v="REF"/>
    <s v="Refrigerator"/>
    <s v="REF"/>
    <s v="Top/Bottom Freezer"/>
    <s v="1OOOOOP"/>
    <s v="RNN260720011603"/>
    <n v="20260720"/>
    <d v="2026-07-20T11:36:00"/>
    <n v="20260724"/>
    <d v="2026-07-24T00:00:00"/>
    <d v="2026-07-24T00:00:00"/>
    <x v="0"/>
    <d v="2026-07-24T00:00:00"/>
    <s v="US064923001B"/>
    <s v="One time_SVC"/>
    <s v="US0649230001S"/>
    <s v="RFTMTM"/>
    <s v="REF"/>
    <s v="IH"/>
    <s v="CIC Transfer"/>
    <s v="HS"/>
    <s v="One time_SVC"/>
    <s v="&lt;NULL&gt;"/>
    <s v="Y"/>
    <s v="AEB75144906"/>
    <s v="2025_P1"/>
    <n v="2"/>
    <s v="Live Chat"/>
    <s v="GA"/>
    <s v="DECATUR"/>
    <s v="USA"/>
    <s v="&lt;NULL&gt;"/>
    <m/>
    <n v="1"/>
    <n v="1"/>
    <n v="1"/>
    <n v="30033"/>
    <s v="772 Scott Cir"/>
    <x v="2"/>
  </r>
  <r>
    <s v="LGEAI"/>
    <s v="Atlanta, GA"/>
    <s v="AI102961"/>
    <x v="9"/>
    <s v="DMS"/>
    <n v="202607"/>
    <s v="LFXS26596S"/>
    <s v="ASTCNA1"/>
    <s v="105KRGG1Q695"/>
    <n v="1"/>
    <s v="REF"/>
    <s v="Refrigerator"/>
    <s v="FRD"/>
    <s v="French Door"/>
    <s v="1FFFVFH"/>
    <s v="RNN260720010223"/>
    <n v="20260720"/>
    <d v="2026-07-20T09:35:00"/>
    <n v="20260724"/>
    <d v="2026-07-24T15:25:00"/>
    <d v="2026-07-24T00:00:00"/>
    <x v="0"/>
    <d v="2026-07-24T00:00:00"/>
    <s v="US064923001B"/>
    <s v="One time_SVC"/>
    <s v="US0649230001S"/>
    <s v="RFBFFD"/>
    <s v="REF"/>
    <s v="IH"/>
    <s v="CIC Transfer"/>
    <s v="HS"/>
    <s v="One time_SVC"/>
    <s v="OPEN"/>
    <s v="Y"/>
    <s v="ADH73150210"/>
    <s v="2025_P1"/>
    <n v="2"/>
    <s v="Live Chat"/>
    <s v="GA"/>
    <s v="NORCROSS"/>
    <s v="USA"/>
    <n v="20260725"/>
    <d v="2026-07-25T15:32:04"/>
    <n v="1"/>
    <n v="1"/>
    <n v="1"/>
    <n v="30071"/>
    <s v="5379 Monarch Pine Ln"/>
    <x v="0"/>
  </r>
  <r>
    <s v="LGEAI"/>
    <s v="Atlanta, GA"/>
    <n v="40324200"/>
    <x v="4"/>
    <s v="DMS2"/>
    <s v="&lt;NULL&gt;"/>
    <s v="WM4000HWA"/>
    <s v="ABWEUUS"/>
    <s v="107TNUW28822"/>
    <n v="0"/>
    <s v="WM"/>
    <s v="Washing Machine"/>
    <s v="DRW"/>
    <s v="Front Loader"/>
    <s v="3CCCICV"/>
    <s v="RNN260716097004"/>
    <n v="20260716"/>
    <d v="2026-07-16T14:07:00"/>
    <s v="&lt;NULL&gt;"/>
    <m/>
    <d v="2026-07-17T00:00:00"/>
    <x v="0"/>
    <d v="2026-07-24T00:00:00"/>
    <s v="US069937001B"/>
    <s v="National Plat"/>
    <s v="40324200-S"/>
    <s v="WMWLFL"/>
    <s v="W/M"/>
    <s v="IH"/>
    <s v="CIC Transfer"/>
    <s v="HS"/>
    <s v="(S6)National Platinum Service, Inc"/>
    <s v="&lt;NULL&gt;"/>
    <s v="Y"/>
    <m/>
    <s v="2025_P1"/>
    <n v="33"/>
    <s v="Phone"/>
    <s v="GA"/>
    <s v="BUFORD"/>
    <s v="USA"/>
    <s v="&lt;NULL&gt;"/>
    <m/>
    <n v="1"/>
    <n v="0"/>
    <n v="1"/>
    <n v="30519"/>
    <s v="3761 Deaton Trail"/>
    <x v="2"/>
  </r>
  <r>
    <s v="LGEAI"/>
    <s v="Atlanta, GA"/>
    <s v="JMOTOS2"/>
    <x v="10"/>
    <s v="DMS2"/>
    <s v="&lt;NULL&gt;"/>
    <s v="LRMVC2306S"/>
    <s v="ASTCNA0"/>
    <s v="302KRFNKA419"/>
    <n v="0"/>
    <s v="REF"/>
    <s v="Refrigerator"/>
    <s v="FRD"/>
    <s v="French Door"/>
    <s v="1FFFVFH"/>
    <s v="RNN260720014949"/>
    <n v="20260720"/>
    <d v="2026-07-20T16:32:00"/>
    <s v="&lt;NULL&gt;"/>
    <m/>
    <d v="2026-07-23T00:00:00"/>
    <x v="1"/>
    <d v="2026-07-27T00:00:00"/>
    <s v="US069937001B"/>
    <s v="National Plat"/>
    <s v="40324201-S"/>
    <s v="RFBFFD"/>
    <s v="REF"/>
    <s v="IH"/>
    <s v="CIC Transfer"/>
    <s v="HS"/>
    <s v="(S6)National Platinum Service, Inc"/>
    <s v="&lt;NULL&gt;"/>
    <s v="Y"/>
    <m/>
    <s v="2025_P1"/>
    <n v="33"/>
    <s v="Live Chat"/>
    <s v="GA"/>
    <s v="NEWNAN"/>
    <s v="USA"/>
    <s v="&lt;NULL&gt;"/>
    <m/>
    <n v="1"/>
    <n v="0"/>
    <n v="1"/>
    <n v="30263"/>
    <s v="108 Ranan Ln"/>
    <x v="1"/>
  </r>
  <r>
    <s v="LGEAI"/>
    <s v="Atlanta, GA"/>
    <s v="AI005576"/>
    <x v="7"/>
    <s v="DMS"/>
    <n v="202607"/>
    <s v="WM4000HBA"/>
    <s v="ABLEUUS"/>
    <s v="408TNBK0J109"/>
    <n v="0"/>
    <s v="WM"/>
    <s v="Washing Machine"/>
    <s v="DRW"/>
    <s v="Front Loader"/>
    <s v="1NNNFNK"/>
    <s v="RNN260715088445"/>
    <n v="20260715"/>
    <d v="2026-07-15T10:29:00"/>
    <n v="20260724"/>
    <d v="2026-07-24T00:00:00"/>
    <d v="2026-07-20T00:00:00"/>
    <x v="0"/>
    <d v="2026-07-24T00:00:00"/>
    <s v="US064923001B"/>
    <s v="One time_SVC"/>
    <s v="US0649230001S"/>
    <s v="WMWLFL"/>
    <s v="W/M"/>
    <s v="IH"/>
    <s v="CIC Transfer"/>
    <s v="HS"/>
    <s v="One time_SVC"/>
    <s v="HOLD"/>
    <s v="Y"/>
    <m/>
    <s v="2025_P1"/>
    <n v="2"/>
    <s v="Phone"/>
    <s v="GA"/>
    <s v="DECATUR"/>
    <s v="USA"/>
    <n v="20260724"/>
    <d v="2026-07-24T22:01:56"/>
    <n v="1"/>
    <n v="0"/>
    <n v="1"/>
    <n v="30033"/>
    <s v="849 Constellation Dr"/>
    <x v="2"/>
  </r>
  <r>
    <s v="LGEAI"/>
    <s v="Atlanta, GA"/>
    <s v="AI102087"/>
    <x v="6"/>
    <s v="DMS"/>
    <n v="202607"/>
    <s v="LMXS28626D"/>
    <s v="ASBCNA0"/>
    <s v="802TRBS07725"/>
    <n v="1"/>
    <s v="REF"/>
    <s v="Refrigerator"/>
    <s v="FRD"/>
    <s v="French Door"/>
    <s v="1FFFVFH"/>
    <s v="RNN260715087322"/>
    <n v="20260715"/>
    <d v="2026-07-15T08:11:00"/>
    <n v="20260725"/>
    <d v="2026-07-25T12:16:00"/>
    <d v="2026-07-20T00:00:00"/>
    <x v="2"/>
    <d v="2026-07-25T00:00:00"/>
    <s v="US064923001B"/>
    <s v="One time_SVC"/>
    <s v="US0649230001S"/>
    <s v="RFBFFD"/>
    <s v="REF"/>
    <s v="IH"/>
    <s v="CIC Transfer"/>
    <s v="HS"/>
    <s v="One time_SVC"/>
    <s v="HOLD"/>
    <s v="Y"/>
    <s v="TCA38091801"/>
    <s v="2025_P1"/>
    <n v="2"/>
    <s v="Phone"/>
    <s v="GA"/>
    <s v="AUSTELL"/>
    <s v="USA"/>
    <n v="20260725"/>
    <d v="2026-07-25T13:57:46"/>
    <n v="1"/>
    <n v="1"/>
    <n v="1"/>
    <n v="30106"/>
    <s v="5533 Pine Grove Dr"/>
    <x v="1"/>
  </r>
  <r>
    <s v="LGEAI"/>
    <s v="Atlanta, GA"/>
    <n v="40324200"/>
    <x v="4"/>
    <s v="DMS2"/>
    <s v="&lt;NULL&gt;"/>
    <s v="LRFWS2906S"/>
    <s v="ASTCNA0"/>
    <s v="111KRQW1G140"/>
    <n v="0"/>
    <s v="REF"/>
    <s v="Refrigerator"/>
    <s v="FRD"/>
    <s v="French Door"/>
    <s v="1FFFVFH"/>
    <s v="RNN260717005057"/>
    <n v="20260717"/>
    <d v="2026-07-17T17:15:00"/>
    <s v="&lt;NULL&gt;"/>
    <m/>
    <d v="2026-07-22T00:00:00"/>
    <x v="0"/>
    <d v="2026-07-24T00:00:00"/>
    <s v="US069937001B"/>
    <s v="National Plat"/>
    <s v="40324200-S"/>
    <s v="RFBFFD"/>
    <s v="REF"/>
    <s v="IH"/>
    <s v="CIC Transfer"/>
    <s v="HS"/>
    <s v="(S6)National Platinum Service, Inc"/>
    <s v="&lt;NULL&gt;"/>
    <s v="Y"/>
    <m/>
    <s v="2025_P1"/>
    <n v="33"/>
    <s v="Others"/>
    <s v="GA"/>
    <s v="ATLANTA"/>
    <s v="USA"/>
    <s v="&lt;NULL&gt;"/>
    <m/>
    <n v="1"/>
    <n v="0"/>
    <n v="1"/>
    <n v="30319"/>
    <s v="1177 Pine Grove Ave NE"/>
    <x v="2"/>
  </r>
  <r>
    <s v="LGEAI"/>
    <s v="Atlanta, GA"/>
    <n v="40324200"/>
    <x v="4"/>
    <s v="DMS2"/>
    <s v="&lt;NULL&gt;"/>
    <s v="LMXS30776S"/>
    <s v="ASBCNA0"/>
    <s v="703KRVQOS039"/>
    <n v="0"/>
    <s v="REF"/>
    <s v="Refrigerator"/>
    <s v="FRD"/>
    <s v="French Door"/>
    <s v="1PPPFAF"/>
    <s v="RNN260721019259"/>
    <n v="20260721"/>
    <d v="2026-07-21T12:00:00"/>
    <n v="20260722"/>
    <d v="2026-07-22T12:53:20"/>
    <d v="2026-07-27T00:00:00"/>
    <x v="1"/>
    <d v="2026-07-27T00:00:00"/>
    <s v="US069937001B"/>
    <s v="National Plat"/>
    <s v="40324200-S"/>
    <s v="RFBFFD"/>
    <s v="REF"/>
    <s v="IH"/>
    <s v="CIC Transfer"/>
    <s v="HS"/>
    <s v="(S6)National Platinum Service, Inc"/>
    <s v="&lt;NULL&gt;"/>
    <s v="Y"/>
    <m/>
    <s v="2025_P1"/>
    <n v="33"/>
    <s v="Phone"/>
    <s v="GA"/>
    <s v="MCDONOUGH"/>
    <s v="USA"/>
    <s v="&lt;NULL&gt;"/>
    <m/>
    <n v="1"/>
    <n v="0"/>
    <n v="1"/>
    <n v="30253"/>
    <s v="1605 Nostalgia Way"/>
    <x v="3"/>
  </r>
  <r>
    <s v="LGEAI"/>
    <s v="Atlanta, GA"/>
    <s v="JMOTOS2"/>
    <x v="10"/>
    <s v="DMS2"/>
    <s v="&lt;NULL&gt;"/>
    <s v="MVEM1825F"/>
    <s v="BRSELGA"/>
    <s v="503TATGRS665"/>
    <n v="0"/>
    <s v="COK"/>
    <s v="Cooking Appliance"/>
    <s v="OTR"/>
    <s v="OTR Microwave/Hood"/>
    <s v="1ACAAAC"/>
    <s v="RNN260714084929"/>
    <n v="20260714"/>
    <d v="2026-07-14T15:39:00"/>
    <s v="&lt;NULL&gt;"/>
    <m/>
    <d v="2026-07-15T00:00:00"/>
    <x v="0"/>
    <d v="2026-07-24T00:00:00"/>
    <s v="US069937001B"/>
    <s v="National Plat"/>
    <s v="40324201-S"/>
    <s v="CAMWOT"/>
    <s v="Cooking"/>
    <s v="IH"/>
    <s v="CIC Transfer"/>
    <s v="HS"/>
    <s v="(S6)National Platinum Service, Inc"/>
    <s v="&lt;NULL&gt;"/>
    <s v="Y"/>
    <m/>
    <s v="2025_P1"/>
    <n v="33"/>
    <s v="Phone"/>
    <s v="GA"/>
    <s v="FAIRBURN"/>
    <s v="USA"/>
    <s v="&lt;NULL&gt;"/>
    <m/>
    <n v="1"/>
    <n v="0"/>
    <n v="1"/>
    <n v="30213"/>
    <s v="8395 Milam Loop"/>
    <x v="1"/>
  </r>
  <r>
    <s v="LGEAI"/>
    <s v="Atlanta, GA"/>
    <s v="AI103264"/>
    <x v="8"/>
    <s v="DMS"/>
    <s v="&lt;NULL&gt;"/>
    <s v="LTEL7337F"/>
    <s v="BRSLLGA"/>
    <s v="407KMKT1V725"/>
    <n v="2"/>
    <s v="COK"/>
    <s v="Cooking Appliance"/>
    <s v="ELR"/>
    <s v="Electric Oven range"/>
    <m/>
    <s v="RNN260710063636"/>
    <n v="20260710"/>
    <d v="2026-07-10T09:40:01"/>
    <n v="20260724"/>
    <d v="2026-07-24T16:59:00"/>
    <d v="2026-07-14T00:00:00"/>
    <x v="0"/>
    <d v="2026-07-24T00:00:00"/>
    <s v="US064923001B"/>
    <s v="One time_SVC"/>
    <s v="US0649230001S"/>
    <s v="CARNSR"/>
    <s v="Cooking"/>
    <s v="IH"/>
    <s v="CIC Transfer"/>
    <s v="HS"/>
    <s v="One time_SVC"/>
    <s v="&lt;NULL&gt;"/>
    <s v="Y"/>
    <s v="EAU62862908"/>
    <s v="2025_P1"/>
    <n v="2"/>
    <s v="Phone"/>
    <s v="GA"/>
    <s v="Snellville"/>
    <s v="USA"/>
    <s v="&lt;NULL&gt;"/>
    <m/>
    <n v="1"/>
    <n v="2"/>
    <n v="1"/>
    <n v="30039"/>
    <s v="4249 INNS BROOK DRIVE"/>
    <x v="2"/>
  </r>
  <r>
    <s v="LGEAI"/>
    <s v="Atlanta, GA"/>
    <s v="AI102315"/>
    <x v="2"/>
    <s v="DMS"/>
    <n v="202607"/>
    <s v="LRFXC2606S"/>
    <s v="ASTCNA0"/>
    <s v="501KRBY2N045"/>
    <n v="0"/>
    <s v="REF"/>
    <s v="Refrigerator"/>
    <s v="FRD"/>
    <s v="French Door"/>
    <s v="1FFFWFK"/>
    <s v="RNN260719008845"/>
    <n v="20260719"/>
    <d v="2026-07-19T14:36:00"/>
    <n v="20260724"/>
    <d v="2026-07-24T11:51:00"/>
    <d v="2026-07-24T00:00:00"/>
    <x v="0"/>
    <d v="2026-07-24T00:00:00"/>
    <s v="US064923001B"/>
    <s v="One time_SVC"/>
    <s v="US0649230001S"/>
    <s v="RFBFFD"/>
    <s v="REF"/>
    <s v="IH"/>
    <s v="CIC Transfer"/>
    <s v="HS"/>
    <s v="One time_SVC"/>
    <s v="HOLD"/>
    <s v="Y"/>
    <m/>
    <s v="2025_P1"/>
    <n v="2"/>
    <s v="Phone"/>
    <s v="GA"/>
    <s v="JEFFERSON"/>
    <s v="USA"/>
    <n v="20260724"/>
    <d v="2026-07-24T18:56:15"/>
    <n v="1"/>
    <n v="0"/>
    <n v="1"/>
    <n v="30549"/>
    <s v="252 Adventure Trail"/>
    <x v="2"/>
  </r>
  <r>
    <s v="LGEAI"/>
    <s v="Atlanta, GA"/>
    <s v="AI102315"/>
    <x v="2"/>
    <s v="DMS"/>
    <s v="&lt;NULL&gt;"/>
    <s v="LRMVS3006S"/>
    <s v="ASTCNA0"/>
    <s v="208KRUC0Z726"/>
    <n v="1"/>
    <s v="REF"/>
    <s v="Refrigerator"/>
    <s v="FRD"/>
    <s v="French Door"/>
    <s v="1PPPDPU"/>
    <s v="RNN260720011590"/>
    <n v="20260720"/>
    <d v="2026-07-20T11:32:00"/>
    <n v="20260724"/>
    <d v="2026-07-24T17:19:00"/>
    <d v="2026-07-24T00:00:00"/>
    <x v="0"/>
    <d v="2026-07-24T00:00:00"/>
    <s v="US064923001B"/>
    <s v="One time_SVC"/>
    <s v="US0649230001S"/>
    <s v="RFBFFD"/>
    <s v="REF"/>
    <s v="IH"/>
    <s v="CIC Transfer"/>
    <s v="HS"/>
    <s v="One time_SVC"/>
    <s v="&lt;NULL&gt;"/>
    <s v="Y"/>
    <s v="AEB76044903"/>
    <s v="2025_P1"/>
    <n v="2"/>
    <s v="Phone"/>
    <s v="GA"/>
    <s v="DACULA"/>
    <s v="USA"/>
    <s v="&lt;NULL&gt;"/>
    <m/>
    <n v="1"/>
    <n v="1"/>
    <n v="1"/>
    <n v="30019"/>
    <s v="2355 Millwater Crossing NE"/>
    <x v="2"/>
  </r>
  <r>
    <s v="LGEAI"/>
    <s v="Atlanta, GA"/>
    <s v="JMOTOS2"/>
    <x v="10"/>
    <s v="DMS2"/>
    <n v="202607"/>
    <s v="LHSXS2706S"/>
    <s v="ASTCNA0"/>
    <s v="606MRWV0A233"/>
    <n v="1"/>
    <s v="REF"/>
    <s v="Refrigerator"/>
    <s v="SBS"/>
    <s v="Side by Side"/>
    <s v="1PPPDPV"/>
    <s v="RNN260715089819"/>
    <n v="20260715"/>
    <d v="2026-07-15T12:56:00"/>
    <n v="20260720"/>
    <d v="2026-07-20T00:00:00"/>
    <d v="2026-07-16T00:00:00"/>
    <x v="0"/>
    <d v="2026-07-24T00:00:00"/>
    <s v="US069937001B"/>
    <s v="National Plat"/>
    <s v="40324201-S"/>
    <s v="RFSSSS"/>
    <s v="REF"/>
    <s v="IH"/>
    <s v="CIC Transfer"/>
    <s v="HS"/>
    <s v="(S6)National Platinum Service, Inc"/>
    <s v="HOLD"/>
    <s v="Y"/>
    <s v="AEB76292102"/>
    <s v="2025_P1"/>
    <n v="33"/>
    <s v="Phone"/>
    <s v="GA"/>
    <s v="Fayetteville"/>
    <s v="USA"/>
    <n v="20260722"/>
    <d v="2026-07-22T14:57:22"/>
    <n v="1"/>
    <n v="1"/>
    <n v="1"/>
    <n v="30214"/>
    <s v="355 Old Mill Ct"/>
    <x v="3"/>
  </r>
  <r>
    <s v="LGEAI"/>
    <s v="Atlanta, GA"/>
    <s v="JMOTOS2"/>
    <x v="10"/>
    <s v="DMS2"/>
    <n v="202607"/>
    <s v="DLE1001W"/>
    <s v="ABWEEUS"/>
    <s v="403KWXDLA034"/>
    <n v="0"/>
    <s v="WM"/>
    <s v="Washing Machine"/>
    <s v="DRR"/>
    <s v="Laundry Dryer"/>
    <s v="2FFFZFG"/>
    <s v="RNN260715092874"/>
    <n v="20260715"/>
    <d v="2026-07-15T18:30:00"/>
    <n v="20260720"/>
    <d v="2026-07-20T00:00:00"/>
    <d v="2026-07-17T00:00:00"/>
    <x v="1"/>
    <d v="2026-07-27T00:00:00"/>
    <s v="US069937001B"/>
    <s v="National Plat"/>
    <s v="40324201-S"/>
    <s v="WMWRWR"/>
    <s v="W/M"/>
    <s v="IH"/>
    <s v="CIC Transfer"/>
    <s v="HS"/>
    <s v="(S6)National Platinum Service, Inc"/>
    <s v="HOLD"/>
    <s v="Y"/>
    <m/>
    <s v="2025_P1"/>
    <n v="33"/>
    <s v="Others"/>
    <s v="GA"/>
    <s v="Fayetteville"/>
    <s v="USA"/>
    <n v="20260722"/>
    <d v="2026-07-22T14:57:22"/>
    <n v="1"/>
    <n v="0"/>
    <n v="1"/>
    <n v="30215"/>
    <s v="12324 Manson Glass Ct"/>
    <x v="3"/>
  </r>
  <r>
    <s v="LGEAI"/>
    <s v="Atlanta, GA"/>
    <s v="AI103264"/>
    <x v="8"/>
    <s v="DMS"/>
    <n v="202607"/>
    <s v="LREL6321S"/>
    <s v="FSTLLGA"/>
    <s v="507MMZB0Q277"/>
    <n v="0"/>
    <s v="COK"/>
    <s v="Cooking Appliance"/>
    <s v="ELR"/>
    <s v="Electric Oven range"/>
    <s v="1ADABAA"/>
    <s v="RNN260718006018"/>
    <n v="20260718"/>
    <d v="2026-07-18T08:23:00"/>
    <n v="20260724"/>
    <d v="2026-07-24T14:20:00"/>
    <d v="2026-07-23T00:00:00"/>
    <x v="0"/>
    <d v="2026-07-24T00:00:00"/>
    <s v="US064923001B"/>
    <s v="One time_SVC"/>
    <s v="US0649230001S"/>
    <s v="CARNFR"/>
    <s v="Cooking"/>
    <s v="IH"/>
    <s v="CIC Transfer"/>
    <s v="HS"/>
    <s v="One time_SVC"/>
    <s v="OPEN"/>
    <s v="Y"/>
    <m/>
    <s v="2025_P1"/>
    <n v="2"/>
    <s v="Others"/>
    <s v="GA"/>
    <s v="CONYERS"/>
    <s v="USA"/>
    <n v="20260724"/>
    <d v="2026-07-24T22:01:56"/>
    <n v="1"/>
    <n v="0"/>
    <n v="1"/>
    <n v="30013"/>
    <s v="3009 Viewpark Circle"/>
    <x v="3"/>
  </r>
  <r>
    <s v="LGEAI"/>
    <s v="Atlanta, GA"/>
    <s v="JMOTOS2"/>
    <x v="10"/>
    <s v="DMS2"/>
    <s v="&lt;NULL&gt;"/>
    <s v="LRMDS3006S"/>
    <s v="ASTCNA0"/>
    <s v="010KRUC0D166"/>
    <n v="0"/>
    <s v="REF"/>
    <s v="Refrigerator"/>
    <s v="FRD"/>
    <s v="French Door"/>
    <s v="1FFFWFJ"/>
    <s v="RNN260716097942"/>
    <n v="20260716"/>
    <d v="2026-07-16T15:47:00"/>
    <s v="&lt;NULL&gt;"/>
    <m/>
    <d v="2026-07-17T00:00:00"/>
    <x v="0"/>
    <d v="2026-07-24T00:00:00"/>
    <s v="US069937001B"/>
    <s v="National Plat"/>
    <s v="40324201-S"/>
    <s v="RFBFFD"/>
    <s v="REF"/>
    <s v="IH"/>
    <s v="CIC Transfer"/>
    <s v="HS"/>
    <s v="(S6)National Platinum Service, Inc"/>
    <s v="&lt;NULL&gt;"/>
    <s v="Y"/>
    <m/>
    <s v="2025_P1"/>
    <n v="33"/>
    <s v="Phone"/>
    <s v="GA"/>
    <s v="PEACHTREE CITY"/>
    <s v="USA"/>
    <s v="&lt;NULL&gt;"/>
    <m/>
    <n v="1"/>
    <n v="0"/>
    <n v="1"/>
    <n v="30269"/>
    <s v="302 Palatine Pl"/>
    <x v="3"/>
  </r>
  <r>
    <s v="LGEAI"/>
    <s v="Atlanta, GA"/>
    <s v="AI102448"/>
    <x v="5"/>
    <s v="DMS"/>
    <s v="&lt;NULL&gt;"/>
    <s v="WT7300CV"/>
    <s v="ASSEUUS"/>
    <s v="005TNDV13602"/>
    <n v="0"/>
    <s v="WM"/>
    <s v="Washing Machine"/>
    <s v="W/M"/>
    <s v="Top Loader"/>
    <m/>
    <s v="RNN260715087758"/>
    <n v="20260715"/>
    <d v="2026-07-15T09:22:00"/>
    <n v="20260724"/>
    <d v="2026-07-24T12:27:00"/>
    <d v="2026-07-20T00:00:00"/>
    <x v="0"/>
    <d v="2026-07-24T00:00:00"/>
    <s v="US064923001B"/>
    <s v="One time_SVC"/>
    <s v="US0649230001S"/>
    <s v="WMWLTL"/>
    <s v="W/M"/>
    <s v="IH"/>
    <s v="CIC Transfer"/>
    <s v="HS"/>
    <s v="One time_SVC"/>
    <s v="&lt;NULL&gt;"/>
    <s v="Y"/>
    <m/>
    <s v="2025_P1"/>
    <n v="2"/>
    <s v="Phone"/>
    <s v="GA"/>
    <s v="CANTON"/>
    <s v="USA"/>
    <s v="&lt;NULL&gt;"/>
    <m/>
    <n v="1"/>
    <n v="0"/>
    <n v="1"/>
    <n v="30115"/>
    <s v="100 CADENCE TRL"/>
    <x v="0"/>
  </r>
  <r>
    <s v="LGEAI"/>
    <s v="Atlanta, GA"/>
    <s v="AI103264"/>
    <x v="8"/>
    <s v="DMS"/>
    <s v="&lt;NULL&gt;"/>
    <s v="LMXS28626S"/>
    <s v="ASTCNA1"/>
    <s v="006KRGG18671"/>
    <n v="0"/>
    <s v="REF"/>
    <s v="Refrigerator"/>
    <s v="FRD"/>
    <s v="French Door"/>
    <s v="1PPPAPD"/>
    <s v="RNN260720012371"/>
    <n v="20260720"/>
    <d v="2026-07-20T12:36:00"/>
    <n v="20260724"/>
    <d v="2026-07-24T15:49:00"/>
    <d v="2026-07-24T00:00:00"/>
    <x v="0"/>
    <d v="2026-07-24T00:00:00"/>
    <s v="US064923001B"/>
    <s v="One time_SVC"/>
    <s v="US0649230001S"/>
    <s v="RFBFFD"/>
    <s v="REF"/>
    <s v="IH"/>
    <s v="CIC Transfer"/>
    <s v="HS"/>
    <s v="One time_SVC"/>
    <s v="&lt;NULL&gt;"/>
    <s v="Y"/>
    <m/>
    <s v="2025_P1"/>
    <n v="2"/>
    <s v="Phone"/>
    <s v="GA"/>
    <s v="CONYERS"/>
    <s v="USA"/>
    <s v="&lt;NULL&gt;"/>
    <m/>
    <n v="1"/>
    <n v="0"/>
    <n v="1"/>
    <n v="30094"/>
    <s v="1536 North Point Court SW"/>
    <x v="3"/>
  </r>
  <r>
    <s v="LGEAI"/>
    <s v="Atlanta, GA"/>
    <n v="40324200"/>
    <x v="4"/>
    <s v="DMS2"/>
    <s v="&lt;NULL&gt;"/>
    <s v="DLE3400W"/>
    <s v="ABWEEUS"/>
    <s v="509KWKS2M669"/>
    <n v="0"/>
    <s v="WM"/>
    <s v="Washing Machine"/>
    <s v="DRR"/>
    <s v="Laundry Dryer"/>
    <s v="2MMMXMN"/>
    <s v="RNN260712071892"/>
    <n v="20260712"/>
    <d v="2026-07-12T19:08:00"/>
    <s v="&lt;NULL&gt;"/>
    <m/>
    <d v="2026-07-20T00:00:00"/>
    <x v="1"/>
    <d v="2026-07-27T00:00:00"/>
    <s v="US069937001B"/>
    <s v="National Plat"/>
    <s v="40324200-S"/>
    <s v="WMWRWR"/>
    <s v="W/M"/>
    <s v="IH"/>
    <s v="CIC Transfer"/>
    <s v="HS"/>
    <s v="(S6)National Platinum Service, Inc"/>
    <s v="&lt;NULL&gt;"/>
    <s v="Y"/>
    <m/>
    <s v="2025_P1"/>
    <n v="33"/>
    <s v="Live Chat"/>
    <s v="GA"/>
    <s v="ATLANTA"/>
    <s v="USA"/>
    <s v="&lt;NULL&gt;"/>
    <m/>
    <n v="1"/>
    <n v="0"/>
    <n v="1"/>
    <n v="30315"/>
    <s v="1428 Hazy Wy SE"/>
    <x v="3"/>
  </r>
  <r>
    <s v="LGEAI"/>
    <s v="Atlanta, GA"/>
    <n v="40324200"/>
    <x v="4"/>
    <s v="DMS2"/>
    <s v="&lt;NULL&gt;"/>
    <s v="LFX25971ST"/>
    <s v="ASTCLGA"/>
    <s v="802KRQW02980"/>
    <n v="0"/>
    <s v="REF"/>
    <s v="Refrigerator"/>
    <s v="FRD"/>
    <s v="French Door"/>
    <s v="1FFFVFH"/>
    <s v="RNN260716094699"/>
    <n v="20260716"/>
    <d v="2026-07-16T10:23:00"/>
    <s v="&lt;NULL&gt;"/>
    <m/>
    <d v="2026-07-24T00:00:00"/>
    <x v="0"/>
    <d v="2026-07-24T00:00:00"/>
    <s v="US069937001B"/>
    <s v="National Plat"/>
    <s v="40324200-S"/>
    <s v="RFBFFD"/>
    <s v="REF"/>
    <s v="IH"/>
    <s v="CIC Transfer"/>
    <s v="HS"/>
    <s v="(S6)National Platinum Service, Inc"/>
    <s v="&lt;NULL&gt;"/>
    <s v="Y"/>
    <m/>
    <s v="2025_P1"/>
    <n v="33"/>
    <s v="Others"/>
    <s v="GA"/>
    <s v="SUWANEE"/>
    <s v="USA"/>
    <s v="&lt;NULL&gt;"/>
    <m/>
    <n v="1"/>
    <n v="0"/>
    <n v="1"/>
    <n v="30024"/>
    <s v="3543 Willow Glen Trl"/>
    <x v="0"/>
  </r>
  <r>
    <s v="LGEAI"/>
    <s v="Atlanta, GA"/>
    <n v="40324200"/>
    <x v="4"/>
    <s v="DMS2"/>
    <s v="&lt;NULL&gt;"/>
    <s v="LRFXC2606S"/>
    <s v="ASTCNA0"/>
    <s v="601KRMK2C747"/>
    <n v="0"/>
    <s v="REF"/>
    <s v="Refrigerator"/>
    <s v="FRD"/>
    <s v="French Door"/>
    <s v="2GGGXGN"/>
    <s v="RNN260709058980"/>
    <n v="20260709"/>
    <d v="2026-07-09T11:45:00"/>
    <s v="&lt;NULL&gt;"/>
    <m/>
    <d v="2026-07-10T00:00:00"/>
    <x v="0"/>
    <d v="2026-07-24T00:00:00"/>
    <s v="US069937001B"/>
    <s v="National Plat"/>
    <s v="40324200-S"/>
    <s v="RFBFFD"/>
    <s v="REF"/>
    <s v="IH"/>
    <s v="CIC Transfer"/>
    <s v="HS"/>
    <s v="(S6)National Platinum Service, Inc"/>
    <s v="&lt;NULL&gt;"/>
    <s v="Y"/>
    <m/>
    <s v="2025_P1"/>
    <n v="33"/>
    <s v="Phone"/>
    <s v="GA"/>
    <s v="ATLANTA"/>
    <s v="USA"/>
    <s v="&lt;NULL&gt;"/>
    <m/>
    <n v="1"/>
    <n v="0"/>
    <n v="1"/>
    <n v="30338"/>
    <s v="1080 OLD VILLAGE RUN"/>
    <x v="0"/>
  </r>
  <r>
    <s v="LGEAI"/>
    <s v="Atlanta, GA"/>
    <s v="AI102961"/>
    <x v="9"/>
    <s v="DMS"/>
    <s v="&lt;NULL&gt;"/>
    <s v="LRFWS2906V"/>
    <s v="APZCNA0"/>
    <s v="108KRPV00712"/>
    <n v="1"/>
    <s v="REF"/>
    <s v="Refrigerator"/>
    <s v="FRD"/>
    <s v="French Door"/>
    <m/>
    <s v="RNN260720013259"/>
    <n v="20260720"/>
    <d v="2026-07-20T13:56:00"/>
    <n v="20260724"/>
    <d v="2026-07-24T18:00:00"/>
    <d v="2026-07-24T00:00:00"/>
    <x v="0"/>
    <d v="2026-07-24T00:00:00"/>
    <s v="US064923001B"/>
    <s v="One time_SVC"/>
    <s v="US0649230001S"/>
    <s v="RFBFFD"/>
    <s v="REF"/>
    <s v="IH"/>
    <s v="CIC Transfer"/>
    <s v="HS"/>
    <s v="One time_SVC"/>
    <s v="&lt;NULL&gt;"/>
    <s v="Y"/>
    <s v="AJU73432831"/>
    <s v="2025_P1"/>
    <n v="2"/>
    <s v="Phone"/>
    <s v="GA"/>
    <s v="BUFORD"/>
    <s v="USA"/>
    <s v="&lt;NULL&gt;"/>
    <m/>
    <n v="1"/>
    <n v="1"/>
    <n v="1"/>
    <n v="30518"/>
    <s v="6401 SWEET LAUREL RUN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D58DF4-F8AC-4FB0-A247-12D0F74ACA87}" name="피벗 테이블1" cacheId="9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4:B7" firstHeaderRow="1" firstDataRow="1" firstDataCol="1" rowPageCount="2" colPageCount="1"/>
  <pivotFields count="49">
    <pivotField showAll="0"/>
    <pivotField showAll="0"/>
    <pivotField showAll="0"/>
    <pivotField axis="axisPage" multipleItemSelectionAllowed="1" showAll="0">
      <items count="12">
        <item h="1" x="8"/>
        <item x="1"/>
        <item x="5"/>
        <item h="1" x="10"/>
        <item h="1" x="4"/>
        <item x="6"/>
        <item h="1" x="9"/>
        <item h="1" x="3"/>
        <item h="1" x="7"/>
        <item h="1"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47" showAll="0"/>
    <pivotField showAll="0"/>
    <pivotField showAll="0"/>
    <pivotField numFmtId="47" showAll="0"/>
    <pivotField axis="axisPage" showAll="0">
      <items count="4">
        <item x="0"/>
        <item x="2"/>
        <item x="1"/>
        <item t="default"/>
      </items>
    </pivotField>
    <pivotField numFmtId="4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4"/>
        <item x="3"/>
        <item x="2"/>
        <item t="default"/>
      </items>
    </pivotField>
  </pivotFields>
  <rowFields count="1">
    <field x="48"/>
  </rowFields>
  <rowItems count="3">
    <i>
      <x/>
    </i>
    <i>
      <x v="1"/>
    </i>
    <i t="grand">
      <x/>
    </i>
  </rowItems>
  <colItems count="1">
    <i/>
  </colItems>
  <pageFields count="2">
    <pageField fld="21" item="0" hier="-1"/>
    <pageField fld="3" hier="-1"/>
  </pageFields>
  <dataFields count="1">
    <dataField name="개수 : GSFS_RECEIPT_NO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F3B72-2F75-4F93-82CA-61959BF26B99}">
  <dimension ref="A1:B7"/>
  <sheetViews>
    <sheetView tabSelected="1" workbookViewId="0">
      <selection activeCell="B6" sqref="B6"/>
    </sheetView>
  </sheetViews>
  <sheetFormatPr defaultRowHeight="16.5" x14ac:dyDescent="0.3"/>
  <cols>
    <col min="1" max="1" width="21.75" bestFit="1" customWidth="1"/>
    <col min="2" max="2" width="25" bestFit="1" customWidth="1"/>
  </cols>
  <sheetData>
    <row r="1" spans="1:2" x14ac:dyDescent="0.3">
      <c r="A1" s="5" t="s">
        <v>21</v>
      </c>
      <c r="B1" s="6">
        <v>20260724</v>
      </c>
    </row>
    <row r="2" spans="1:2" x14ac:dyDescent="0.3">
      <c r="A2" s="5" t="s">
        <v>3</v>
      </c>
      <c r="B2" t="s">
        <v>424</v>
      </c>
    </row>
    <row r="4" spans="1:2" x14ac:dyDescent="0.3">
      <c r="A4" s="5" t="s">
        <v>420</v>
      </c>
      <c r="B4" t="s">
        <v>419</v>
      </c>
    </row>
    <row r="5" spans="1:2" x14ac:dyDescent="0.3">
      <c r="A5" s="6" t="s">
        <v>409</v>
      </c>
      <c r="B5" s="3">
        <v>3</v>
      </c>
    </row>
    <row r="6" spans="1:2" x14ac:dyDescent="0.3">
      <c r="A6" s="6" t="s">
        <v>411</v>
      </c>
      <c r="B6" s="3">
        <v>4</v>
      </c>
    </row>
    <row r="7" spans="1:2" x14ac:dyDescent="0.3">
      <c r="A7" s="6" t="s">
        <v>421</v>
      </c>
      <c r="B7" s="3">
        <v>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D7822-059B-49B2-8C9E-EAAED3FFE8F4}">
  <sheetPr filterMode="1"/>
  <dimension ref="A1:AW47"/>
  <sheetViews>
    <sheetView topLeftCell="X1" workbookViewId="0">
      <selection activeCell="AU46" sqref="AU23:AU46"/>
    </sheetView>
  </sheetViews>
  <sheetFormatPr defaultRowHeight="16.5" x14ac:dyDescent="0.3"/>
  <cols>
    <col min="6" max="13" width="0" hidden="1" customWidth="1"/>
    <col min="16" max="16" width="19.875" bestFit="1" customWidth="1"/>
    <col min="17" max="25" width="9" customWidth="1"/>
    <col min="26" max="26" width="17.125" customWidth="1"/>
    <col min="27" max="27" width="19.875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422</v>
      </c>
    </row>
    <row r="2" spans="1:49" hidden="1" x14ac:dyDescent="0.3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>
        <v>1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 t="s">
        <v>62</v>
      </c>
      <c r="Q2">
        <v>20260720</v>
      </c>
      <c r="R2" s="1">
        <v>46223.602083333331</v>
      </c>
      <c r="S2">
        <v>20260724</v>
      </c>
      <c r="T2" s="1">
        <v>46227.552777777775</v>
      </c>
      <c r="U2" s="1">
        <v>46227</v>
      </c>
      <c r="V2">
        <v>20260724</v>
      </c>
      <c r="W2" s="1">
        <v>46227</v>
      </c>
      <c r="X2" t="s">
        <v>63</v>
      </c>
      <c r="Y2" t="s">
        <v>64</v>
      </c>
      <c r="Z2" t="s">
        <v>65</v>
      </c>
      <c r="AA2" t="s">
        <v>66</v>
      </c>
      <c r="AB2" t="s">
        <v>57</v>
      </c>
      <c r="AC2" t="s">
        <v>67</v>
      </c>
      <c r="AD2" t="s">
        <v>68</v>
      </c>
      <c r="AE2" t="s">
        <v>69</v>
      </c>
      <c r="AF2" t="s">
        <v>64</v>
      </c>
      <c r="AG2" t="s">
        <v>53</v>
      </c>
      <c r="AH2" t="s">
        <v>70</v>
      </c>
      <c r="AI2" t="s">
        <v>71</v>
      </c>
      <c r="AJ2" t="s">
        <v>72</v>
      </c>
      <c r="AK2">
        <v>2</v>
      </c>
      <c r="AL2" t="s">
        <v>73</v>
      </c>
      <c r="AM2" t="s">
        <v>74</v>
      </c>
      <c r="AN2" t="s">
        <v>75</v>
      </c>
      <c r="AO2" t="s">
        <v>76</v>
      </c>
      <c r="AP2" t="s">
        <v>53</v>
      </c>
      <c r="AR2">
        <v>1</v>
      </c>
      <c r="AS2">
        <v>1</v>
      </c>
      <c r="AT2">
        <v>1</v>
      </c>
      <c r="AU2">
        <v>30107</v>
      </c>
      <c r="AV2" t="s">
        <v>77</v>
      </c>
      <c r="AW2" t="str">
        <f>VLOOKUP(AU2,'[1]1. Area'!$A$2:$B$302,2,0)</f>
        <v>Zone 2</v>
      </c>
    </row>
    <row r="3" spans="1:49" hidden="1" x14ac:dyDescent="0.3">
      <c r="A3" t="s">
        <v>48</v>
      </c>
      <c r="B3" t="s">
        <v>49</v>
      </c>
      <c r="C3" t="s">
        <v>79</v>
      </c>
      <c r="D3" t="s">
        <v>80</v>
      </c>
      <c r="E3" t="s">
        <v>52</v>
      </c>
      <c r="F3">
        <v>202607</v>
      </c>
      <c r="G3" t="s">
        <v>81</v>
      </c>
      <c r="H3" t="s">
        <v>82</v>
      </c>
      <c r="I3" t="s">
        <v>83</v>
      </c>
      <c r="J3">
        <v>1</v>
      </c>
      <c r="K3" t="s">
        <v>57</v>
      </c>
      <c r="L3" t="s">
        <v>58</v>
      </c>
      <c r="M3" t="s">
        <v>59</v>
      </c>
      <c r="N3" t="s">
        <v>60</v>
      </c>
      <c r="O3" t="s">
        <v>84</v>
      </c>
      <c r="P3" t="s">
        <v>85</v>
      </c>
      <c r="Q3">
        <v>20260720</v>
      </c>
      <c r="R3" s="1">
        <v>46223.50277777778</v>
      </c>
      <c r="S3">
        <v>20260724</v>
      </c>
      <c r="T3" s="1">
        <v>46227.915972222225</v>
      </c>
      <c r="U3" s="1">
        <v>46227</v>
      </c>
      <c r="V3">
        <v>20260724</v>
      </c>
      <c r="W3" s="1">
        <v>46227</v>
      </c>
      <c r="X3" t="s">
        <v>63</v>
      </c>
      <c r="Y3" t="s">
        <v>64</v>
      </c>
      <c r="Z3" t="s">
        <v>65</v>
      </c>
      <c r="AA3" t="s">
        <v>66</v>
      </c>
      <c r="AB3" t="s">
        <v>57</v>
      </c>
      <c r="AC3" t="s">
        <v>67</v>
      </c>
      <c r="AD3" t="s">
        <v>68</v>
      </c>
      <c r="AE3" t="s">
        <v>69</v>
      </c>
      <c r="AF3" t="s">
        <v>64</v>
      </c>
      <c r="AG3" t="s">
        <v>86</v>
      </c>
      <c r="AH3" t="s">
        <v>70</v>
      </c>
      <c r="AI3" t="s">
        <v>87</v>
      </c>
      <c r="AJ3" t="s">
        <v>72</v>
      </c>
      <c r="AK3">
        <v>2</v>
      </c>
      <c r="AL3" t="s">
        <v>88</v>
      </c>
      <c r="AM3" t="s">
        <v>74</v>
      </c>
      <c r="AN3" t="s">
        <v>89</v>
      </c>
      <c r="AO3" t="s">
        <v>76</v>
      </c>
      <c r="AP3">
        <v>20260725</v>
      </c>
      <c r="AQ3" s="1">
        <v>46228.045949074076</v>
      </c>
      <c r="AR3">
        <v>1</v>
      </c>
      <c r="AS3">
        <v>1</v>
      </c>
      <c r="AT3">
        <v>1</v>
      </c>
      <c r="AU3">
        <v>30068</v>
      </c>
      <c r="AV3" t="s">
        <v>90</v>
      </c>
      <c r="AW3" t="str">
        <f>VLOOKUP(AU3,'[1]1. Area'!$A$2:$B$302,2,0)</f>
        <v>Zone 2</v>
      </c>
    </row>
    <row r="4" spans="1:49" hidden="1" x14ac:dyDescent="0.3">
      <c r="A4" t="s">
        <v>48</v>
      </c>
      <c r="B4" t="s">
        <v>49</v>
      </c>
      <c r="C4" t="s">
        <v>79</v>
      </c>
      <c r="D4" t="s">
        <v>80</v>
      </c>
      <c r="E4" t="s">
        <v>52</v>
      </c>
      <c r="F4" t="s">
        <v>53</v>
      </c>
      <c r="G4" t="s">
        <v>91</v>
      </c>
      <c r="H4" t="s">
        <v>92</v>
      </c>
      <c r="I4" t="s">
        <v>93</v>
      </c>
      <c r="J4">
        <v>1</v>
      </c>
      <c r="K4" t="s">
        <v>57</v>
      </c>
      <c r="L4" t="s">
        <v>58</v>
      </c>
      <c r="M4" t="s">
        <v>59</v>
      </c>
      <c r="N4" t="s">
        <v>60</v>
      </c>
      <c r="P4" t="s">
        <v>94</v>
      </c>
      <c r="Q4">
        <v>20260720</v>
      </c>
      <c r="R4" s="1">
        <v>46223.527789351851</v>
      </c>
      <c r="S4">
        <v>20260724</v>
      </c>
      <c r="T4" s="1">
        <v>46227.622916666667</v>
      </c>
      <c r="U4" s="1">
        <v>46227</v>
      </c>
      <c r="V4">
        <v>20260724</v>
      </c>
      <c r="W4" s="1">
        <v>46227</v>
      </c>
      <c r="X4" t="s">
        <v>63</v>
      </c>
      <c r="Y4" t="s">
        <v>64</v>
      </c>
      <c r="Z4" t="s">
        <v>65</v>
      </c>
      <c r="AA4" t="s">
        <v>66</v>
      </c>
      <c r="AB4" t="s">
        <v>57</v>
      </c>
      <c r="AC4" t="s">
        <v>67</v>
      </c>
      <c r="AD4" t="s">
        <v>68</v>
      </c>
      <c r="AE4" t="s">
        <v>69</v>
      </c>
      <c r="AF4" t="s">
        <v>64</v>
      </c>
      <c r="AG4" t="s">
        <v>53</v>
      </c>
      <c r="AH4" t="s">
        <v>70</v>
      </c>
      <c r="AI4" t="s">
        <v>95</v>
      </c>
      <c r="AJ4" t="s">
        <v>72</v>
      </c>
      <c r="AK4">
        <v>2</v>
      </c>
      <c r="AL4" t="s">
        <v>88</v>
      </c>
      <c r="AM4" t="s">
        <v>74</v>
      </c>
      <c r="AN4" t="s">
        <v>96</v>
      </c>
      <c r="AO4" t="s">
        <v>76</v>
      </c>
      <c r="AP4" t="s">
        <v>53</v>
      </c>
      <c r="AR4">
        <v>1</v>
      </c>
      <c r="AS4">
        <v>1</v>
      </c>
      <c r="AT4">
        <v>1</v>
      </c>
      <c r="AU4">
        <v>30117</v>
      </c>
      <c r="AV4" t="s">
        <v>97</v>
      </c>
      <c r="AW4" t="str">
        <f>VLOOKUP(AU4,'[1]1. Area'!$A$2:$B$302,2,0)</f>
        <v>Zone 1</v>
      </c>
    </row>
    <row r="5" spans="1:49" hidden="1" x14ac:dyDescent="0.3">
      <c r="A5" t="s">
        <v>48</v>
      </c>
      <c r="B5" t="s">
        <v>49</v>
      </c>
      <c r="C5" t="s">
        <v>98</v>
      </c>
      <c r="D5" t="s">
        <v>99</v>
      </c>
      <c r="E5" t="s">
        <v>52</v>
      </c>
      <c r="F5" t="s">
        <v>53</v>
      </c>
      <c r="G5" t="s">
        <v>100</v>
      </c>
      <c r="H5" t="s">
        <v>82</v>
      </c>
      <c r="I5" t="s">
        <v>101</v>
      </c>
      <c r="J5">
        <v>1</v>
      </c>
      <c r="K5" t="s">
        <v>57</v>
      </c>
      <c r="L5" t="s">
        <v>58</v>
      </c>
      <c r="M5" t="s">
        <v>59</v>
      </c>
      <c r="N5" t="s">
        <v>60</v>
      </c>
      <c r="O5" t="s">
        <v>102</v>
      </c>
      <c r="P5" t="s">
        <v>103</v>
      </c>
      <c r="Q5">
        <v>20260720</v>
      </c>
      <c r="R5" s="1">
        <v>46223.427083333336</v>
      </c>
      <c r="S5">
        <v>20260724</v>
      </c>
      <c r="T5" s="1">
        <v>46227.402083333334</v>
      </c>
      <c r="U5" s="1">
        <v>46227</v>
      </c>
      <c r="V5">
        <v>20260724</v>
      </c>
      <c r="W5" s="1">
        <v>46227</v>
      </c>
      <c r="X5" t="s">
        <v>63</v>
      </c>
      <c r="Y5" t="s">
        <v>64</v>
      </c>
      <c r="Z5" t="s">
        <v>65</v>
      </c>
      <c r="AA5" t="s">
        <v>66</v>
      </c>
      <c r="AB5" t="s">
        <v>57</v>
      </c>
      <c r="AC5" t="s">
        <v>67</v>
      </c>
      <c r="AD5" t="s">
        <v>68</v>
      </c>
      <c r="AE5" t="s">
        <v>69</v>
      </c>
      <c r="AF5" t="s">
        <v>64</v>
      </c>
      <c r="AG5" t="s">
        <v>53</v>
      </c>
      <c r="AH5" t="s">
        <v>70</v>
      </c>
      <c r="AI5" t="s">
        <v>104</v>
      </c>
      <c r="AJ5" t="s">
        <v>72</v>
      </c>
      <c r="AK5">
        <v>2</v>
      </c>
      <c r="AL5" t="s">
        <v>105</v>
      </c>
      <c r="AM5" t="s">
        <v>74</v>
      </c>
      <c r="AN5" t="s">
        <v>106</v>
      </c>
      <c r="AO5" t="s">
        <v>76</v>
      </c>
      <c r="AP5" t="s">
        <v>53</v>
      </c>
      <c r="AR5">
        <v>1</v>
      </c>
      <c r="AS5">
        <v>1</v>
      </c>
      <c r="AT5">
        <v>1</v>
      </c>
      <c r="AU5">
        <v>30601</v>
      </c>
      <c r="AV5" t="s">
        <v>107</v>
      </c>
      <c r="AW5" t="str">
        <f>VLOOKUP(AU5,'[1]1. Area'!$A$2:$B$302,2,0)</f>
        <v>Zone 5</v>
      </c>
    </row>
    <row r="6" spans="1:49" hidden="1" x14ac:dyDescent="0.3">
      <c r="A6" t="s">
        <v>48</v>
      </c>
      <c r="B6" t="s">
        <v>49</v>
      </c>
      <c r="C6" t="s">
        <v>108</v>
      </c>
      <c r="D6" t="s">
        <v>109</v>
      </c>
      <c r="E6" t="s">
        <v>52</v>
      </c>
      <c r="F6" t="s">
        <v>53</v>
      </c>
      <c r="G6" t="s">
        <v>110</v>
      </c>
      <c r="H6" t="s">
        <v>92</v>
      </c>
      <c r="I6" t="s">
        <v>111</v>
      </c>
      <c r="J6">
        <v>1</v>
      </c>
      <c r="K6" t="s">
        <v>57</v>
      </c>
      <c r="L6" t="s">
        <v>58</v>
      </c>
      <c r="M6" t="s">
        <v>59</v>
      </c>
      <c r="N6" t="s">
        <v>60</v>
      </c>
      <c r="P6" t="s">
        <v>112</v>
      </c>
      <c r="Q6">
        <v>20260716</v>
      </c>
      <c r="R6" s="1">
        <v>46219.502083333333</v>
      </c>
      <c r="S6">
        <v>20260724</v>
      </c>
      <c r="T6" s="1">
        <v>46227.652777777781</v>
      </c>
      <c r="U6" s="1">
        <v>46224</v>
      </c>
      <c r="V6">
        <v>20260724</v>
      </c>
      <c r="W6" s="1">
        <v>46227</v>
      </c>
      <c r="X6" t="s">
        <v>63</v>
      </c>
      <c r="Y6" t="s">
        <v>64</v>
      </c>
      <c r="Z6" t="s">
        <v>65</v>
      </c>
      <c r="AA6" t="s">
        <v>66</v>
      </c>
      <c r="AB6" t="s">
        <v>57</v>
      </c>
      <c r="AC6" t="s">
        <v>67</v>
      </c>
      <c r="AD6" t="s">
        <v>68</v>
      </c>
      <c r="AE6" t="s">
        <v>69</v>
      </c>
      <c r="AF6" t="s">
        <v>64</v>
      </c>
      <c r="AG6" t="s">
        <v>53</v>
      </c>
      <c r="AH6" t="s">
        <v>70</v>
      </c>
      <c r="AI6" t="s">
        <v>113</v>
      </c>
      <c r="AJ6" t="s">
        <v>72</v>
      </c>
      <c r="AK6">
        <v>2</v>
      </c>
      <c r="AL6" t="s">
        <v>88</v>
      </c>
      <c r="AM6" t="s">
        <v>74</v>
      </c>
      <c r="AN6" t="s">
        <v>114</v>
      </c>
      <c r="AO6" t="s">
        <v>76</v>
      </c>
      <c r="AP6" t="s">
        <v>53</v>
      </c>
      <c r="AR6">
        <v>1</v>
      </c>
      <c r="AS6">
        <v>1</v>
      </c>
      <c r="AT6">
        <v>1</v>
      </c>
      <c r="AU6">
        <v>30253</v>
      </c>
      <c r="AV6" t="s">
        <v>115</v>
      </c>
      <c r="AW6" t="str">
        <f>VLOOKUP(AU6,'[1]1. Area'!$A$2:$B$302,2,0)</f>
        <v>Zone 4</v>
      </c>
    </row>
    <row r="7" spans="1:49" hidden="1" x14ac:dyDescent="0.3">
      <c r="A7" t="s">
        <v>48</v>
      </c>
      <c r="B7" t="s">
        <v>49</v>
      </c>
      <c r="C7">
        <v>40324200</v>
      </c>
      <c r="D7" t="s">
        <v>116</v>
      </c>
      <c r="E7" t="s">
        <v>117</v>
      </c>
      <c r="F7" t="s">
        <v>53</v>
      </c>
      <c r="G7" t="s">
        <v>118</v>
      </c>
      <c r="H7" t="s">
        <v>119</v>
      </c>
      <c r="I7" t="s">
        <v>120</v>
      </c>
      <c r="J7">
        <v>0</v>
      </c>
      <c r="K7" t="s">
        <v>121</v>
      </c>
      <c r="L7" t="s">
        <v>122</v>
      </c>
      <c r="M7" t="s">
        <v>123</v>
      </c>
      <c r="N7" t="s">
        <v>124</v>
      </c>
      <c r="O7" t="s">
        <v>125</v>
      </c>
      <c r="P7" t="s">
        <v>126</v>
      </c>
      <c r="Q7">
        <v>20260724</v>
      </c>
      <c r="R7" s="1">
        <v>46227.347916666666</v>
      </c>
      <c r="S7" t="s">
        <v>53</v>
      </c>
      <c r="U7" s="1">
        <v>46230</v>
      </c>
      <c r="V7">
        <v>20260727</v>
      </c>
      <c r="W7" s="1">
        <v>46230</v>
      </c>
      <c r="X7" t="s">
        <v>127</v>
      </c>
      <c r="Y7" t="s">
        <v>128</v>
      </c>
      <c r="Z7" t="s">
        <v>129</v>
      </c>
      <c r="AA7" t="s">
        <v>130</v>
      </c>
      <c r="AB7" t="s">
        <v>131</v>
      </c>
      <c r="AC7" t="s">
        <v>67</v>
      </c>
      <c r="AD7" t="s">
        <v>68</v>
      </c>
      <c r="AE7" t="s">
        <v>69</v>
      </c>
      <c r="AF7" t="s">
        <v>132</v>
      </c>
      <c r="AG7" t="s">
        <v>53</v>
      </c>
      <c r="AH7" t="s">
        <v>70</v>
      </c>
      <c r="AJ7" t="s">
        <v>72</v>
      </c>
      <c r="AK7">
        <v>33</v>
      </c>
      <c r="AL7" t="s">
        <v>133</v>
      </c>
      <c r="AM7" t="s">
        <v>74</v>
      </c>
      <c r="AN7" t="s">
        <v>134</v>
      </c>
      <c r="AO7" t="s">
        <v>76</v>
      </c>
      <c r="AP7" t="s">
        <v>53</v>
      </c>
      <c r="AR7">
        <v>1</v>
      </c>
      <c r="AS7">
        <v>0</v>
      </c>
      <c r="AT7">
        <v>1</v>
      </c>
      <c r="AU7">
        <v>30004</v>
      </c>
      <c r="AV7" t="s">
        <v>135</v>
      </c>
      <c r="AW7" t="str">
        <f>VLOOKUP(AU7,'[1]1. Area'!$A$2:$B$302,2,0)</f>
        <v>Zone 2</v>
      </c>
    </row>
    <row r="8" spans="1:49" hidden="1" x14ac:dyDescent="0.3">
      <c r="A8" t="s">
        <v>48</v>
      </c>
      <c r="B8" t="s">
        <v>49</v>
      </c>
      <c r="C8" t="s">
        <v>98</v>
      </c>
      <c r="D8" t="s">
        <v>99</v>
      </c>
      <c r="E8" t="s">
        <v>52</v>
      </c>
      <c r="F8">
        <v>202607</v>
      </c>
      <c r="G8" t="s">
        <v>136</v>
      </c>
      <c r="H8" t="s">
        <v>137</v>
      </c>
      <c r="I8" t="s">
        <v>138</v>
      </c>
      <c r="J8">
        <v>1</v>
      </c>
      <c r="K8" t="s">
        <v>139</v>
      </c>
      <c r="L8" t="s">
        <v>140</v>
      </c>
      <c r="M8" t="s">
        <v>141</v>
      </c>
      <c r="N8" t="s">
        <v>142</v>
      </c>
      <c r="O8" t="s">
        <v>143</v>
      </c>
      <c r="P8" t="s">
        <v>144</v>
      </c>
      <c r="Q8">
        <v>20260720</v>
      </c>
      <c r="R8" s="1">
        <v>46223.509027777778</v>
      </c>
      <c r="S8">
        <v>20260724</v>
      </c>
      <c r="T8" s="1">
        <v>46227.623611111114</v>
      </c>
      <c r="U8" s="1">
        <v>46227</v>
      </c>
      <c r="V8">
        <v>20260724</v>
      </c>
      <c r="W8" s="1">
        <v>46227</v>
      </c>
      <c r="X8" t="s">
        <v>63</v>
      </c>
      <c r="Y8" t="s">
        <v>64</v>
      </c>
      <c r="Z8" t="s">
        <v>65</v>
      </c>
      <c r="AA8" t="s">
        <v>145</v>
      </c>
      <c r="AB8" t="s">
        <v>146</v>
      </c>
      <c r="AC8" t="s">
        <v>67</v>
      </c>
      <c r="AD8" t="s">
        <v>68</v>
      </c>
      <c r="AE8" t="s">
        <v>69</v>
      </c>
      <c r="AF8" t="s">
        <v>64</v>
      </c>
      <c r="AG8" t="s">
        <v>86</v>
      </c>
      <c r="AH8" t="s">
        <v>70</v>
      </c>
      <c r="AI8" t="s">
        <v>147</v>
      </c>
      <c r="AJ8" t="s">
        <v>72</v>
      </c>
      <c r="AK8">
        <v>2</v>
      </c>
      <c r="AL8" t="s">
        <v>105</v>
      </c>
      <c r="AM8" t="s">
        <v>74</v>
      </c>
      <c r="AN8" t="s">
        <v>148</v>
      </c>
      <c r="AO8" t="s">
        <v>76</v>
      </c>
      <c r="AP8">
        <v>20260724</v>
      </c>
      <c r="AQ8" s="1">
        <v>46227.918009259258</v>
      </c>
      <c r="AR8">
        <v>1</v>
      </c>
      <c r="AS8">
        <v>1</v>
      </c>
      <c r="AT8">
        <v>1</v>
      </c>
      <c r="AU8">
        <v>30519</v>
      </c>
      <c r="AV8" t="s">
        <v>149</v>
      </c>
      <c r="AW8" t="str">
        <f>VLOOKUP(AU8,'[1]1. Area'!$A$2:$B$302,2,0)</f>
        <v>Zone 5</v>
      </c>
    </row>
    <row r="9" spans="1:49" hidden="1" x14ac:dyDescent="0.3">
      <c r="A9" t="s">
        <v>48</v>
      </c>
      <c r="B9" t="s">
        <v>49</v>
      </c>
      <c r="C9" t="s">
        <v>150</v>
      </c>
      <c r="D9" t="s">
        <v>151</v>
      </c>
      <c r="E9" t="s">
        <v>52</v>
      </c>
      <c r="F9" t="s">
        <v>53</v>
      </c>
      <c r="G9" t="s">
        <v>152</v>
      </c>
      <c r="H9" t="s">
        <v>55</v>
      </c>
      <c r="I9" t="s">
        <v>153</v>
      </c>
      <c r="J9">
        <v>1</v>
      </c>
      <c r="K9" t="s">
        <v>57</v>
      </c>
      <c r="L9" t="s">
        <v>58</v>
      </c>
      <c r="M9" t="s">
        <v>59</v>
      </c>
      <c r="N9" t="s">
        <v>60</v>
      </c>
      <c r="O9" t="s">
        <v>154</v>
      </c>
      <c r="P9" t="s">
        <v>155</v>
      </c>
      <c r="Q9">
        <v>20260720</v>
      </c>
      <c r="R9" s="1">
        <v>46223.515972222223</v>
      </c>
      <c r="S9">
        <v>20260724</v>
      </c>
      <c r="T9" s="1">
        <v>46227.715277777781</v>
      </c>
      <c r="U9" s="1">
        <v>46227</v>
      </c>
      <c r="V9">
        <v>20260724</v>
      </c>
      <c r="W9" s="1">
        <v>46227</v>
      </c>
      <c r="X9" t="s">
        <v>63</v>
      </c>
      <c r="Y9" t="s">
        <v>64</v>
      </c>
      <c r="Z9" t="s">
        <v>65</v>
      </c>
      <c r="AA9" t="s">
        <v>66</v>
      </c>
      <c r="AB9" t="s">
        <v>57</v>
      </c>
      <c r="AC9" t="s">
        <v>67</v>
      </c>
      <c r="AD9" t="s">
        <v>68</v>
      </c>
      <c r="AE9" t="s">
        <v>69</v>
      </c>
      <c r="AF9" t="s">
        <v>64</v>
      </c>
      <c r="AG9" t="s">
        <v>53</v>
      </c>
      <c r="AH9" t="s">
        <v>70</v>
      </c>
      <c r="AI9" t="s">
        <v>156</v>
      </c>
      <c r="AJ9" t="s">
        <v>72</v>
      </c>
      <c r="AK9">
        <v>2</v>
      </c>
      <c r="AL9" t="s">
        <v>88</v>
      </c>
      <c r="AM9" t="s">
        <v>74</v>
      </c>
      <c r="AN9" t="s">
        <v>157</v>
      </c>
      <c r="AO9" t="s">
        <v>76</v>
      </c>
      <c r="AP9" t="s">
        <v>53</v>
      </c>
      <c r="AR9">
        <v>1</v>
      </c>
      <c r="AS9">
        <v>1</v>
      </c>
      <c r="AT9">
        <v>1</v>
      </c>
      <c r="AU9">
        <v>30075</v>
      </c>
      <c r="AV9" t="s">
        <v>158</v>
      </c>
      <c r="AW9" t="str">
        <f>VLOOKUP(AU9,'[1]1. Area'!$A$2:$B$302,2,0)</f>
        <v>Zone 2</v>
      </c>
    </row>
    <row r="10" spans="1:49" hidden="1" x14ac:dyDescent="0.3">
      <c r="A10" t="s">
        <v>48</v>
      </c>
      <c r="B10" t="s">
        <v>49</v>
      </c>
      <c r="C10" t="s">
        <v>159</v>
      </c>
      <c r="D10" t="s">
        <v>160</v>
      </c>
      <c r="E10" t="s">
        <v>52</v>
      </c>
      <c r="F10">
        <v>202607</v>
      </c>
      <c r="G10" t="s">
        <v>161</v>
      </c>
      <c r="H10" t="s">
        <v>92</v>
      </c>
      <c r="I10" t="s">
        <v>162</v>
      </c>
      <c r="J10">
        <v>2</v>
      </c>
      <c r="K10" t="s">
        <v>57</v>
      </c>
      <c r="L10" t="s">
        <v>58</v>
      </c>
      <c r="M10" t="s">
        <v>59</v>
      </c>
      <c r="N10" t="s">
        <v>60</v>
      </c>
      <c r="O10" t="s">
        <v>163</v>
      </c>
      <c r="P10" t="s">
        <v>164</v>
      </c>
      <c r="Q10">
        <v>20260720</v>
      </c>
      <c r="R10" s="1">
        <v>46223.420138888891</v>
      </c>
      <c r="S10">
        <v>20260724</v>
      </c>
      <c r="T10" s="1">
        <v>46227</v>
      </c>
      <c r="U10" s="1">
        <v>46227</v>
      </c>
      <c r="V10">
        <v>20260724</v>
      </c>
      <c r="W10" s="1">
        <v>46227</v>
      </c>
      <c r="X10" t="s">
        <v>63</v>
      </c>
      <c r="Y10" t="s">
        <v>64</v>
      </c>
      <c r="Z10" t="s">
        <v>65</v>
      </c>
      <c r="AA10" t="s">
        <v>66</v>
      </c>
      <c r="AB10" t="s">
        <v>57</v>
      </c>
      <c r="AC10" t="s">
        <v>67</v>
      </c>
      <c r="AD10" t="s">
        <v>68</v>
      </c>
      <c r="AE10" t="s">
        <v>69</v>
      </c>
      <c r="AF10" t="s">
        <v>64</v>
      </c>
      <c r="AG10" t="s">
        <v>86</v>
      </c>
      <c r="AH10" t="s">
        <v>70</v>
      </c>
      <c r="AI10" t="s">
        <v>156</v>
      </c>
      <c r="AJ10" t="s">
        <v>72</v>
      </c>
      <c r="AK10">
        <v>2</v>
      </c>
      <c r="AL10" t="s">
        <v>88</v>
      </c>
      <c r="AM10" t="s">
        <v>74</v>
      </c>
      <c r="AN10" t="s">
        <v>165</v>
      </c>
      <c r="AO10" t="s">
        <v>76</v>
      </c>
      <c r="AP10">
        <v>20260724</v>
      </c>
      <c r="AQ10" s="1">
        <v>46227.918009259258</v>
      </c>
      <c r="AR10">
        <v>1</v>
      </c>
      <c r="AS10">
        <v>2</v>
      </c>
      <c r="AT10">
        <v>1</v>
      </c>
      <c r="AU10">
        <v>30179</v>
      </c>
      <c r="AV10" t="s">
        <v>166</v>
      </c>
      <c r="AW10" t="str">
        <f>VLOOKUP(AU10,'[1]1. Area'!$A$2:$B$302,2,0)</f>
        <v>Zone 1</v>
      </c>
    </row>
    <row r="11" spans="1:49" hidden="1" x14ac:dyDescent="0.3">
      <c r="A11" t="s">
        <v>48</v>
      </c>
      <c r="B11" t="s">
        <v>49</v>
      </c>
      <c r="C11" t="s">
        <v>98</v>
      </c>
      <c r="D11" t="s">
        <v>99</v>
      </c>
      <c r="E11" t="s">
        <v>52</v>
      </c>
      <c r="F11">
        <v>202607</v>
      </c>
      <c r="G11" t="s">
        <v>167</v>
      </c>
      <c r="H11" t="s">
        <v>82</v>
      </c>
      <c r="I11" t="s">
        <v>168</v>
      </c>
      <c r="J11">
        <v>1</v>
      </c>
      <c r="K11" t="s">
        <v>57</v>
      </c>
      <c r="L11" t="s">
        <v>58</v>
      </c>
      <c r="M11" t="s">
        <v>59</v>
      </c>
      <c r="N11" t="s">
        <v>60</v>
      </c>
      <c r="O11" t="s">
        <v>169</v>
      </c>
      <c r="P11" t="s">
        <v>170</v>
      </c>
      <c r="Q11">
        <v>20260719</v>
      </c>
      <c r="R11" s="1">
        <v>46222.46875</v>
      </c>
      <c r="S11">
        <v>20260724</v>
      </c>
      <c r="T11" s="1">
        <v>46227.440972222219</v>
      </c>
      <c r="U11" s="1">
        <v>46226</v>
      </c>
      <c r="V11">
        <v>20260724</v>
      </c>
      <c r="W11" s="1">
        <v>46227</v>
      </c>
      <c r="X11" t="s">
        <v>63</v>
      </c>
      <c r="Y11" t="s">
        <v>64</v>
      </c>
      <c r="Z11" t="s">
        <v>65</v>
      </c>
      <c r="AA11" t="s">
        <v>66</v>
      </c>
      <c r="AB11" t="s">
        <v>57</v>
      </c>
      <c r="AC11" t="s">
        <v>67</v>
      </c>
      <c r="AD11" t="s">
        <v>68</v>
      </c>
      <c r="AE11" t="s">
        <v>69</v>
      </c>
      <c r="AF11" t="s">
        <v>64</v>
      </c>
      <c r="AG11" t="s">
        <v>171</v>
      </c>
      <c r="AH11" t="s">
        <v>70</v>
      </c>
      <c r="AI11" t="s">
        <v>172</v>
      </c>
      <c r="AJ11" t="s">
        <v>72</v>
      </c>
      <c r="AK11">
        <v>2</v>
      </c>
      <c r="AL11" t="s">
        <v>133</v>
      </c>
      <c r="AM11" t="s">
        <v>74</v>
      </c>
      <c r="AN11" t="s">
        <v>106</v>
      </c>
      <c r="AO11" t="s">
        <v>76</v>
      </c>
      <c r="AP11">
        <v>20260724</v>
      </c>
      <c r="AQ11" s="1">
        <v>46227.702210648145</v>
      </c>
      <c r="AR11">
        <v>1</v>
      </c>
      <c r="AS11">
        <v>1</v>
      </c>
      <c r="AT11">
        <v>1</v>
      </c>
      <c r="AU11">
        <v>30607</v>
      </c>
      <c r="AV11" t="s">
        <v>173</v>
      </c>
      <c r="AW11" t="str">
        <f>VLOOKUP(AU11,'[1]1. Area'!$A$2:$B$302,2,0)</f>
        <v>Zone 5</v>
      </c>
    </row>
    <row r="12" spans="1:49" hidden="1" x14ac:dyDescent="0.3">
      <c r="A12" t="s">
        <v>48</v>
      </c>
      <c r="B12" t="s">
        <v>49</v>
      </c>
      <c r="C12" t="s">
        <v>108</v>
      </c>
      <c r="D12" t="s">
        <v>109</v>
      </c>
      <c r="E12" t="s">
        <v>52</v>
      </c>
      <c r="F12" t="s">
        <v>53</v>
      </c>
      <c r="G12" t="s">
        <v>174</v>
      </c>
      <c r="H12" t="s">
        <v>175</v>
      </c>
      <c r="I12" t="s">
        <v>176</v>
      </c>
      <c r="J12">
        <v>1</v>
      </c>
      <c r="K12" t="s">
        <v>121</v>
      </c>
      <c r="L12" t="s">
        <v>122</v>
      </c>
      <c r="M12" t="s">
        <v>123</v>
      </c>
      <c r="N12" t="s">
        <v>124</v>
      </c>
      <c r="O12" t="s">
        <v>177</v>
      </c>
      <c r="P12" t="s">
        <v>178</v>
      </c>
      <c r="Q12">
        <v>20260719</v>
      </c>
      <c r="R12" s="1">
        <v>46222.505555555559</v>
      </c>
      <c r="S12">
        <v>20260724</v>
      </c>
      <c r="T12" s="1">
        <v>46227.540972222225</v>
      </c>
      <c r="U12" s="1">
        <v>46227</v>
      </c>
      <c r="V12">
        <v>20260724</v>
      </c>
      <c r="W12" s="1">
        <v>46227</v>
      </c>
      <c r="X12" t="s">
        <v>63</v>
      </c>
      <c r="Y12" t="s">
        <v>64</v>
      </c>
      <c r="Z12" t="s">
        <v>65</v>
      </c>
      <c r="AA12" t="s">
        <v>130</v>
      </c>
      <c r="AB12" t="s">
        <v>131</v>
      </c>
      <c r="AC12" t="s">
        <v>67</v>
      </c>
      <c r="AD12" t="s">
        <v>68</v>
      </c>
      <c r="AE12" t="s">
        <v>69</v>
      </c>
      <c r="AF12" t="s">
        <v>64</v>
      </c>
      <c r="AG12" t="s">
        <v>53</v>
      </c>
      <c r="AH12" t="s">
        <v>70</v>
      </c>
      <c r="AI12" t="s">
        <v>179</v>
      </c>
      <c r="AJ12" t="s">
        <v>72</v>
      </c>
      <c r="AK12">
        <v>2</v>
      </c>
      <c r="AL12" t="s">
        <v>88</v>
      </c>
      <c r="AM12" t="s">
        <v>74</v>
      </c>
      <c r="AN12" t="s">
        <v>180</v>
      </c>
      <c r="AO12" t="s">
        <v>76</v>
      </c>
      <c r="AP12" t="s">
        <v>53</v>
      </c>
      <c r="AR12">
        <v>1</v>
      </c>
      <c r="AS12">
        <v>1</v>
      </c>
      <c r="AT12">
        <v>1</v>
      </c>
      <c r="AU12">
        <v>30265</v>
      </c>
      <c r="AV12" t="s">
        <v>181</v>
      </c>
      <c r="AW12" t="str">
        <f>VLOOKUP(AU12,'[1]1. Area'!$A$2:$B$302,2,0)</f>
        <v>Zone 1</v>
      </c>
    </row>
    <row r="13" spans="1:49" hidden="1" x14ac:dyDescent="0.3">
      <c r="A13" t="s">
        <v>48</v>
      </c>
      <c r="B13" t="s">
        <v>49</v>
      </c>
      <c r="C13" t="s">
        <v>50</v>
      </c>
      <c r="D13" t="s">
        <v>51</v>
      </c>
      <c r="E13" t="s">
        <v>52</v>
      </c>
      <c r="F13">
        <v>202607</v>
      </c>
      <c r="G13" t="s">
        <v>182</v>
      </c>
      <c r="H13" t="s">
        <v>82</v>
      </c>
      <c r="I13" t="s">
        <v>183</v>
      </c>
      <c r="J13">
        <v>1</v>
      </c>
      <c r="K13" t="s">
        <v>57</v>
      </c>
      <c r="L13" t="s">
        <v>58</v>
      </c>
      <c r="M13" t="s">
        <v>57</v>
      </c>
      <c r="N13" t="s">
        <v>184</v>
      </c>
      <c r="O13" t="s">
        <v>185</v>
      </c>
      <c r="P13" t="s">
        <v>186</v>
      </c>
      <c r="Q13">
        <v>20260719</v>
      </c>
      <c r="R13" s="1">
        <v>46222.64166666667</v>
      </c>
      <c r="S13">
        <v>20260724</v>
      </c>
      <c r="T13" s="1">
        <v>46227.692361111112</v>
      </c>
      <c r="U13" s="1">
        <v>46227</v>
      </c>
      <c r="V13">
        <v>20260724</v>
      </c>
      <c r="W13" s="1">
        <v>46227</v>
      </c>
      <c r="X13" t="s">
        <v>63</v>
      </c>
      <c r="Y13" t="s">
        <v>64</v>
      </c>
      <c r="Z13" t="s">
        <v>65</v>
      </c>
      <c r="AA13" t="s">
        <v>187</v>
      </c>
      <c r="AB13" t="s">
        <v>57</v>
      </c>
      <c r="AC13" t="s">
        <v>67</v>
      </c>
      <c r="AD13" t="s">
        <v>68</v>
      </c>
      <c r="AE13" t="s">
        <v>69</v>
      </c>
      <c r="AF13" t="s">
        <v>64</v>
      </c>
      <c r="AG13" t="s">
        <v>86</v>
      </c>
      <c r="AH13" t="s">
        <v>70</v>
      </c>
      <c r="AI13" t="s">
        <v>156</v>
      </c>
      <c r="AJ13" t="s">
        <v>72</v>
      </c>
      <c r="AK13">
        <v>2</v>
      </c>
      <c r="AL13" t="s">
        <v>88</v>
      </c>
      <c r="AM13" t="s">
        <v>74</v>
      </c>
      <c r="AN13" t="s">
        <v>188</v>
      </c>
      <c r="AO13" t="s">
        <v>76</v>
      </c>
      <c r="AP13">
        <v>20260725</v>
      </c>
      <c r="AQ13" s="1">
        <v>46228.927488425928</v>
      </c>
      <c r="AR13">
        <v>1</v>
      </c>
      <c r="AS13">
        <v>1</v>
      </c>
      <c r="AT13">
        <v>1</v>
      </c>
      <c r="AU13">
        <v>30534</v>
      </c>
      <c r="AV13" t="s">
        <v>189</v>
      </c>
      <c r="AW13" t="str">
        <f>VLOOKUP(AU13,'[1]1. Area'!$A$2:$B$302,2,0)</f>
        <v>Zone 3</v>
      </c>
    </row>
    <row r="14" spans="1:49" hidden="1" x14ac:dyDescent="0.3">
      <c r="A14" t="s">
        <v>48</v>
      </c>
      <c r="B14" t="s">
        <v>49</v>
      </c>
      <c r="C14" t="s">
        <v>190</v>
      </c>
      <c r="D14" t="s">
        <v>191</v>
      </c>
      <c r="E14" t="s">
        <v>52</v>
      </c>
      <c r="F14">
        <v>202607</v>
      </c>
      <c r="G14" t="s">
        <v>192</v>
      </c>
      <c r="H14" t="s">
        <v>82</v>
      </c>
      <c r="I14" t="s">
        <v>193</v>
      </c>
      <c r="J14">
        <v>1</v>
      </c>
      <c r="K14" t="s">
        <v>57</v>
      </c>
      <c r="L14" t="s">
        <v>58</v>
      </c>
      <c r="M14" t="s">
        <v>59</v>
      </c>
      <c r="N14" t="s">
        <v>60</v>
      </c>
      <c r="O14" t="s">
        <v>163</v>
      </c>
      <c r="P14" t="s">
        <v>194</v>
      </c>
      <c r="Q14">
        <v>20260720</v>
      </c>
      <c r="R14" s="1">
        <v>46223.372916666667</v>
      </c>
      <c r="S14">
        <v>20260724</v>
      </c>
      <c r="T14" s="1">
        <v>46227</v>
      </c>
      <c r="U14" s="1">
        <v>46227</v>
      </c>
      <c r="V14">
        <v>20260724</v>
      </c>
      <c r="W14" s="1">
        <v>46227</v>
      </c>
      <c r="X14" t="s">
        <v>63</v>
      </c>
      <c r="Y14" t="s">
        <v>64</v>
      </c>
      <c r="Z14" t="s">
        <v>65</v>
      </c>
      <c r="AA14" t="s">
        <v>66</v>
      </c>
      <c r="AB14" t="s">
        <v>57</v>
      </c>
      <c r="AC14" t="s">
        <v>67</v>
      </c>
      <c r="AD14" t="s">
        <v>68</v>
      </c>
      <c r="AE14" t="s">
        <v>69</v>
      </c>
      <c r="AF14" t="s">
        <v>64</v>
      </c>
      <c r="AG14" t="s">
        <v>171</v>
      </c>
      <c r="AH14" t="s">
        <v>70</v>
      </c>
      <c r="AI14" t="s">
        <v>195</v>
      </c>
      <c r="AJ14" t="s">
        <v>72</v>
      </c>
      <c r="AK14">
        <v>2</v>
      </c>
      <c r="AL14" t="s">
        <v>88</v>
      </c>
      <c r="AM14" t="s">
        <v>74</v>
      </c>
      <c r="AN14" t="s">
        <v>196</v>
      </c>
      <c r="AO14" t="s">
        <v>76</v>
      </c>
      <c r="AP14">
        <v>20260725</v>
      </c>
      <c r="AQ14" s="1">
        <v>46228.003310185188</v>
      </c>
      <c r="AR14">
        <v>1</v>
      </c>
      <c r="AS14">
        <v>1</v>
      </c>
      <c r="AT14">
        <v>1</v>
      </c>
      <c r="AU14">
        <v>30033</v>
      </c>
      <c r="AV14" t="s">
        <v>197</v>
      </c>
      <c r="AW14" t="str">
        <f>VLOOKUP(AU14,'[1]1. Area'!$A$2:$B$302,2,0)</f>
        <v>Zone 5</v>
      </c>
    </row>
    <row r="15" spans="1:49" hidden="1" x14ac:dyDescent="0.3">
      <c r="A15" t="s">
        <v>48</v>
      </c>
      <c r="B15" t="s">
        <v>49</v>
      </c>
      <c r="C15" t="s">
        <v>198</v>
      </c>
      <c r="D15" t="s">
        <v>199</v>
      </c>
      <c r="E15" t="s">
        <v>52</v>
      </c>
      <c r="F15">
        <v>202607</v>
      </c>
      <c r="G15" t="s">
        <v>200</v>
      </c>
      <c r="H15" t="s">
        <v>82</v>
      </c>
      <c r="I15" t="s">
        <v>201</v>
      </c>
      <c r="J15">
        <v>0</v>
      </c>
      <c r="K15" t="s">
        <v>57</v>
      </c>
      <c r="L15" t="s">
        <v>58</v>
      </c>
      <c r="M15" t="s">
        <v>202</v>
      </c>
      <c r="N15" t="s">
        <v>203</v>
      </c>
      <c r="O15" t="s">
        <v>163</v>
      </c>
      <c r="P15" t="s">
        <v>204</v>
      </c>
      <c r="Q15">
        <v>20260720</v>
      </c>
      <c r="R15" s="1">
        <v>46223.34652777778</v>
      </c>
      <c r="S15">
        <v>20260724</v>
      </c>
      <c r="T15" s="1">
        <v>46227.538888888892</v>
      </c>
      <c r="U15" s="1">
        <v>46227</v>
      </c>
      <c r="V15">
        <v>20260724</v>
      </c>
      <c r="W15" s="1">
        <v>46227</v>
      </c>
      <c r="X15" t="s">
        <v>63</v>
      </c>
      <c r="Y15" t="s">
        <v>64</v>
      </c>
      <c r="Z15" t="s">
        <v>65</v>
      </c>
      <c r="AA15" t="s">
        <v>205</v>
      </c>
      <c r="AB15" t="s">
        <v>57</v>
      </c>
      <c r="AC15" t="s">
        <v>67</v>
      </c>
      <c r="AD15" t="s">
        <v>68</v>
      </c>
      <c r="AE15" t="s">
        <v>69</v>
      </c>
      <c r="AF15" t="s">
        <v>64</v>
      </c>
      <c r="AG15" t="s">
        <v>171</v>
      </c>
      <c r="AH15" t="s">
        <v>70</v>
      </c>
      <c r="AJ15" t="s">
        <v>72</v>
      </c>
      <c r="AK15">
        <v>2</v>
      </c>
      <c r="AL15" t="s">
        <v>88</v>
      </c>
      <c r="AM15" t="s">
        <v>74</v>
      </c>
      <c r="AN15" t="s">
        <v>206</v>
      </c>
      <c r="AO15" t="s">
        <v>76</v>
      </c>
      <c r="AP15">
        <v>20260724</v>
      </c>
      <c r="AQ15" s="1">
        <v>46227.918009259258</v>
      </c>
      <c r="AR15">
        <v>1</v>
      </c>
      <c r="AS15">
        <v>0</v>
      </c>
      <c r="AT15">
        <v>1</v>
      </c>
      <c r="AU15">
        <v>30013</v>
      </c>
      <c r="AV15" t="s">
        <v>207</v>
      </c>
      <c r="AW15" t="str">
        <f>VLOOKUP(AU15,'[1]1. Area'!$A$2:$B$302,2,0)</f>
        <v>Zone 4</v>
      </c>
    </row>
    <row r="16" spans="1:49" hidden="1" x14ac:dyDescent="0.3">
      <c r="A16" t="s">
        <v>48</v>
      </c>
      <c r="B16" t="s">
        <v>49</v>
      </c>
      <c r="C16" t="s">
        <v>108</v>
      </c>
      <c r="D16" t="s">
        <v>109</v>
      </c>
      <c r="E16" t="s">
        <v>52</v>
      </c>
      <c r="F16">
        <v>202607</v>
      </c>
      <c r="G16" t="s">
        <v>208</v>
      </c>
      <c r="H16" t="s">
        <v>209</v>
      </c>
      <c r="I16" t="s">
        <v>210</v>
      </c>
      <c r="J16">
        <v>0</v>
      </c>
      <c r="K16" t="s">
        <v>139</v>
      </c>
      <c r="L16" t="s">
        <v>140</v>
      </c>
      <c r="M16" t="s">
        <v>141</v>
      </c>
      <c r="N16" t="s">
        <v>142</v>
      </c>
      <c r="O16" t="s">
        <v>211</v>
      </c>
      <c r="P16" t="s">
        <v>212</v>
      </c>
      <c r="Q16">
        <v>20260630</v>
      </c>
      <c r="R16" s="1">
        <v>46203.70208333333</v>
      </c>
      <c r="S16">
        <v>20260708</v>
      </c>
      <c r="T16" s="1">
        <v>46211</v>
      </c>
      <c r="U16" s="1">
        <v>46211</v>
      </c>
      <c r="V16">
        <v>20260727</v>
      </c>
      <c r="W16" s="1">
        <v>46230.333333333336</v>
      </c>
      <c r="X16" t="s">
        <v>63</v>
      </c>
      <c r="Y16" t="s">
        <v>64</v>
      </c>
      <c r="Z16" t="s">
        <v>65</v>
      </c>
      <c r="AA16" t="s">
        <v>213</v>
      </c>
      <c r="AB16" t="s">
        <v>146</v>
      </c>
      <c r="AC16" t="s">
        <v>67</v>
      </c>
      <c r="AD16" t="s">
        <v>68</v>
      </c>
      <c r="AE16" t="s">
        <v>69</v>
      </c>
      <c r="AF16" t="s">
        <v>64</v>
      </c>
      <c r="AG16" t="s">
        <v>86</v>
      </c>
      <c r="AH16" t="s">
        <v>70</v>
      </c>
      <c r="AJ16" t="s">
        <v>72</v>
      </c>
      <c r="AK16">
        <v>2</v>
      </c>
      <c r="AL16" t="s">
        <v>105</v>
      </c>
      <c r="AM16" t="s">
        <v>74</v>
      </c>
      <c r="AN16" t="s">
        <v>214</v>
      </c>
      <c r="AO16" t="s">
        <v>76</v>
      </c>
      <c r="AP16">
        <v>20260722</v>
      </c>
      <c r="AQ16" s="1">
        <v>46225.887824074074</v>
      </c>
      <c r="AR16">
        <v>1</v>
      </c>
      <c r="AS16">
        <v>0</v>
      </c>
      <c r="AT16">
        <v>1</v>
      </c>
      <c r="AU16">
        <v>30014</v>
      </c>
      <c r="AV16" t="s">
        <v>215</v>
      </c>
      <c r="AW16" t="str">
        <f>VLOOKUP(AU16,'[1]1. Area'!$A$2:$B$302,2,0)</f>
        <v>Zone 5</v>
      </c>
    </row>
    <row r="17" spans="1:49" hidden="1" x14ac:dyDescent="0.3">
      <c r="A17" t="s">
        <v>48</v>
      </c>
      <c r="B17" t="s">
        <v>49</v>
      </c>
      <c r="C17" t="s">
        <v>108</v>
      </c>
      <c r="D17" t="s">
        <v>109</v>
      </c>
      <c r="E17" t="s">
        <v>52</v>
      </c>
      <c r="F17">
        <v>202607</v>
      </c>
      <c r="G17" t="s">
        <v>200</v>
      </c>
      <c r="H17" t="s">
        <v>82</v>
      </c>
      <c r="I17" t="s">
        <v>216</v>
      </c>
      <c r="J17">
        <v>0</v>
      </c>
      <c r="K17" t="s">
        <v>57</v>
      </c>
      <c r="L17" t="s">
        <v>58</v>
      </c>
      <c r="M17" t="s">
        <v>202</v>
      </c>
      <c r="N17" t="s">
        <v>203</v>
      </c>
      <c r="O17" t="s">
        <v>163</v>
      </c>
      <c r="P17" t="s">
        <v>217</v>
      </c>
      <c r="Q17">
        <v>20260719</v>
      </c>
      <c r="R17" s="1">
        <v>46222.800694444442</v>
      </c>
      <c r="S17">
        <v>20260724</v>
      </c>
      <c r="T17" s="1">
        <v>46227.595833333333</v>
      </c>
      <c r="U17" s="1">
        <v>46227</v>
      </c>
      <c r="V17">
        <v>20260724</v>
      </c>
      <c r="W17" s="1">
        <v>46227</v>
      </c>
      <c r="X17" t="s">
        <v>63</v>
      </c>
      <c r="Y17" t="s">
        <v>64</v>
      </c>
      <c r="Z17" t="s">
        <v>65</v>
      </c>
      <c r="AA17" t="s">
        <v>205</v>
      </c>
      <c r="AB17" t="s">
        <v>57</v>
      </c>
      <c r="AC17" t="s">
        <v>67</v>
      </c>
      <c r="AD17" t="s">
        <v>68</v>
      </c>
      <c r="AE17" t="s">
        <v>69</v>
      </c>
      <c r="AF17" t="s">
        <v>64</v>
      </c>
      <c r="AG17" t="s">
        <v>86</v>
      </c>
      <c r="AH17" t="s">
        <v>70</v>
      </c>
      <c r="AJ17" t="s">
        <v>72</v>
      </c>
      <c r="AK17">
        <v>2</v>
      </c>
      <c r="AL17" t="s">
        <v>88</v>
      </c>
      <c r="AM17" t="s">
        <v>74</v>
      </c>
      <c r="AN17" t="s">
        <v>218</v>
      </c>
      <c r="AO17" t="s">
        <v>76</v>
      </c>
      <c r="AP17">
        <v>20260724</v>
      </c>
      <c r="AQ17" s="1">
        <v>46227.918009259258</v>
      </c>
      <c r="AR17">
        <v>1</v>
      </c>
      <c r="AS17">
        <v>0</v>
      </c>
      <c r="AT17">
        <v>1</v>
      </c>
      <c r="AU17">
        <v>30294</v>
      </c>
      <c r="AV17" t="s">
        <v>219</v>
      </c>
      <c r="AW17" t="str">
        <f>VLOOKUP(AU17,'[1]1. Area'!$A$2:$B$302,2,0)</f>
        <v>Zone 4</v>
      </c>
    </row>
    <row r="18" spans="1:49" hidden="1" x14ac:dyDescent="0.3">
      <c r="A18" t="s">
        <v>48</v>
      </c>
      <c r="B18" t="s">
        <v>49</v>
      </c>
      <c r="C18" t="s">
        <v>79</v>
      </c>
      <c r="D18" t="s">
        <v>80</v>
      </c>
      <c r="E18" t="s">
        <v>52</v>
      </c>
      <c r="F18" t="s">
        <v>53</v>
      </c>
      <c r="G18" t="s">
        <v>220</v>
      </c>
      <c r="H18" t="s">
        <v>92</v>
      </c>
      <c r="I18" t="s">
        <v>221</v>
      </c>
      <c r="J18">
        <v>1</v>
      </c>
      <c r="K18" t="s">
        <v>57</v>
      </c>
      <c r="L18" t="s">
        <v>58</v>
      </c>
      <c r="M18" t="s">
        <v>59</v>
      </c>
      <c r="N18" t="s">
        <v>60</v>
      </c>
      <c r="O18" t="s">
        <v>163</v>
      </c>
      <c r="P18" t="s">
        <v>222</v>
      </c>
      <c r="Q18">
        <v>20260721</v>
      </c>
      <c r="R18" s="1">
        <v>46224.488888888889</v>
      </c>
      <c r="S18">
        <v>20260724</v>
      </c>
      <c r="T18" s="1">
        <v>46227.583333333336</v>
      </c>
      <c r="U18" s="1">
        <v>46226</v>
      </c>
      <c r="V18">
        <v>20260724</v>
      </c>
      <c r="W18" s="1">
        <v>46227</v>
      </c>
      <c r="X18" t="s">
        <v>63</v>
      </c>
      <c r="Y18" t="s">
        <v>64</v>
      </c>
      <c r="Z18" t="s">
        <v>65</v>
      </c>
      <c r="AA18" t="s">
        <v>66</v>
      </c>
      <c r="AB18" t="s">
        <v>57</v>
      </c>
      <c r="AC18" t="s">
        <v>67</v>
      </c>
      <c r="AD18" t="s">
        <v>68</v>
      </c>
      <c r="AE18" t="s">
        <v>69</v>
      </c>
      <c r="AF18" t="s">
        <v>64</v>
      </c>
      <c r="AG18" t="s">
        <v>53</v>
      </c>
      <c r="AH18" t="s">
        <v>70</v>
      </c>
      <c r="AI18" t="s">
        <v>78</v>
      </c>
      <c r="AJ18" t="s">
        <v>72</v>
      </c>
      <c r="AK18">
        <v>2</v>
      </c>
      <c r="AL18" t="s">
        <v>88</v>
      </c>
      <c r="AM18" t="s">
        <v>74</v>
      </c>
      <c r="AN18" t="s">
        <v>223</v>
      </c>
      <c r="AO18" t="s">
        <v>76</v>
      </c>
      <c r="AP18" t="s">
        <v>53</v>
      </c>
      <c r="AR18">
        <v>1</v>
      </c>
      <c r="AS18">
        <v>1</v>
      </c>
      <c r="AT18">
        <v>1</v>
      </c>
      <c r="AU18">
        <v>30106</v>
      </c>
      <c r="AV18" t="s">
        <v>224</v>
      </c>
      <c r="AW18" t="str">
        <f>VLOOKUP(AU18,'[1]1. Area'!$A$2:$B$302,2,0)</f>
        <v>Zone 1</v>
      </c>
    </row>
    <row r="19" spans="1:49" hidden="1" x14ac:dyDescent="0.3">
      <c r="A19" t="s">
        <v>48</v>
      </c>
      <c r="B19" t="s">
        <v>49</v>
      </c>
      <c r="C19" t="s">
        <v>225</v>
      </c>
      <c r="D19" t="s">
        <v>226</v>
      </c>
      <c r="E19" t="s">
        <v>52</v>
      </c>
      <c r="F19">
        <v>202607</v>
      </c>
      <c r="G19" t="s">
        <v>227</v>
      </c>
      <c r="H19" t="s">
        <v>228</v>
      </c>
      <c r="I19" t="s">
        <v>229</v>
      </c>
      <c r="J19">
        <v>1</v>
      </c>
      <c r="K19" t="s">
        <v>121</v>
      </c>
      <c r="L19" t="s">
        <v>122</v>
      </c>
      <c r="M19" t="s">
        <v>230</v>
      </c>
      <c r="N19" t="s">
        <v>231</v>
      </c>
      <c r="O19" t="s">
        <v>232</v>
      </c>
      <c r="P19" t="s">
        <v>233</v>
      </c>
      <c r="Q19">
        <v>20260720</v>
      </c>
      <c r="R19" s="1">
        <v>46223.536111111112</v>
      </c>
      <c r="S19">
        <v>20260724</v>
      </c>
      <c r="T19" s="1">
        <v>46227.673611111109</v>
      </c>
      <c r="U19" s="1">
        <v>46227</v>
      </c>
      <c r="V19">
        <v>20260724</v>
      </c>
      <c r="W19" s="1">
        <v>46227</v>
      </c>
      <c r="X19" t="s">
        <v>63</v>
      </c>
      <c r="Y19" t="s">
        <v>64</v>
      </c>
      <c r="Z19" t="s">
        <v>65</v>
      </c>
      <c r="AA19" t="s">
        <v>234</v>
      </c>
      <c r="AB19" t="s">
        <v>235</v>
      </c>
      <c r="AC19" t="s">
        <v>67</v>
      </c>
      <c r="AD19" t="s">
        <v>68</v>
      </c>
      <c r="AE19" t="s">
        <v>69</v>
      </c>
      <c r="AF19" t="s">
        <v>64</v>
      </c>
      <c r="AG19" t="s">
        <v>86</v>
      </c>
      <c r="AH19" t="s">
        <v>70</v>
      </c>
      <c r="AI19" t="s">
        <v>236</v>
      </c>
      <c r="AJ19" t="s">
        <v>72</v>
      </c>
      <c r="AK19">
        <v>2</v>
      </c>
      <c r="AL19" t="s">
        <v>73</v>
      </c>
      <c r="AM19" t="s">
        <v>74</v>
      </c>
      <c r="AN19" t="s">
        <v>237</v>
      </c>
      <c r="AO19" t="s">
        <v>76</v>
      </c>
      <c r="AP19">
        <v>20260725</v>
      </c>
      <c r="AQ19" s="1">
        <v>46228.668819444443</v>
      </c>
      <c r="AR19">
        <v>1</v>
      </c>
      <c r="AS19">
        <v>1</v>
      </c>
      <c r="AT19">
        <v>1</v>
      </c>
      <c r="AU19">
        <v>30024</v>
      </c>
      <c r="AV19" t="s">
        <v>238</v>
      </c>
      <c r="AW19" t="str">
        <f>VLOOKUP(AU19,'[1]1. Area'!$A$2:$B$302,2,0)</f>
        <v>Zone 2</v>
      </c>
    </row>
    <row r="20" spans="1:49" hidden="1" x14ac:dyDescent="0.3">
      <c r="A20" t="s">
        <v>48</v>
      </c>
      <c r="B20" t="s">
        <v>49</v>
      </c>
      <c r="C20" t="s">
        <v>225</v>
      </c>
      <c r="D20" t="s">
        <v>226</v>
      </c>
      <c r="E20" t="s">
        <v>52</v>
      </c>
      <c r="F20">
        <v>202607</v>
      </c>
      <c r="G20" t="s">
        <v>239</v>
      </c>
      <c r="H20" t="s">
        <v>82</v>
      </c>
      <c r="I20" t="s">
        <v>240</v>
      </c>
      <c r="J20">
        <v>0</v>
      </c>
      <c r="K20" t="s">
        <v>57</v>
      </c>
      <c r="L20" t="s">
        <v>58</v>
      </c>
      <c r="M20" t="s">
        <v>202</v>
      </c>
      <c r="N20" t="s">
        <v>203</v>
      </c>
      <c r="O20" t="s">
        <v>241</v>
      </c>
      <c r="P20" t="s">
        <v>242</v>
      </c>
      <c r="Q20">
        <v>20260708</v>
      </c>
      <c r="R20" s="1">
        <v>46211.669444444444</v>
      </c>
      <c r="S20">
        <v>20260724</v>
      </c>
      <c r="T20" s="1">
        <v>46227.548611111109</v>
      </c>
      <c r="U20" s="1">
        <v>46216</v>
      </c>
      <c r="V20">
        <v>20260724</v>
      </c>
      <c r="W20" s="1">
        <v>46227</v>
      </c>
      <c r="X20" t="s">
        <v>63</v>
      </c>
      <c r="Y20" t="s">
        <v>64</v>
      </c>
      <c r="Z20" t="s">
        <v>65</v>
      </c>
      <c r="AA20" t="s">
        <v>205</v>
      </c>
      <c r="AB20" t="s">
        <v>57</v>
      </c>
      <c r="AC20" t="s">
        <v>67</v>
      </c>
      <c r="AD20" t="s">
        <v>68</v>
      </c>
      <c r="AE20" t="s">
        <v>69</v>
      </c>
      <c r="AF20" t="s">
        <v>64</v>
      </c>
      <c r="AG20" t="s">
        <v>86</v>
      </c>
      <c r="AH20" t="s">
        <v>70</v>
      </c>
      <c r="AJ20" t="s">
        <v>72</v>
      </c>
      <c r="AK20">
        <v>2</v>
      </c>
      <c r="AL20" t="s">
        <v>105</v>
      </c>
      <c r="AM20" t="s">
        <v>74</v>
      </c>
      <c r="AN20" t="s">
        <v>243</v>
      </c>
      <c r="AO20" t="s">
        <v>76</v>
      </c>
      <c r="AP20">
        <v>20260724</v>
      </c>
      <c r="AQ20" s="1">
        <v>46227.7890625</v>
      </c>
      <c r="AR20">
        <v>1</v>
      </c>
      <c r="AS20">
        <v>0</v>
      </c>
      <c r="AT20">
        <v>1</v>
      </c>
      <c r="AU20">
        <v>30096</v>
      </c>
      <c r="AV20" t="s">
        <v>244</v>
      </c>
      <c r="AW20" t="str">
        <f>VLOOKUP(AU20,'[1]1. Area'!$A$2:$B$302,2,0)</f>
        <v>Zone 2</v>
      </c>
    </row>
    <row r="21" spans="1:49" hidden="1" x14ac:dyDescent="0.3">
      <c r="A21" t="s">
        <v>48</v>
      </c>
      <c r="B21" t="s">
        <v>49</v>
      </c>
      <c r="C21" t="s">
        <v>198</v>
      </c>
      <c r="D21" t="s">
        <v>199</v>
      </c>
      <c r="E21" t="s">
        <v>52</v>
      </c>
      <c r="F21" t="s">
        <v>53</v>
      </c>
      <c r="G21" t="s">
        <v>245</v>
      </c>
      <c r="H21" t="s">
        <v>246</v>
      </c>
      <c r="I21" t="s">
        <v>247</v>
      </c>
      <c r="J21">
        <v>1</v>
      </c>
      <c r="K21" t="s">
        <v>139</v>
      </c>
      <c r="L21" t="s">
        <v>140</v>
      </c>
      <c r="M21" t="s">
        <v>141</v>
      </c>
      <c r="N21" t="s">
        <v>142</v>
      </c>
      <c r="P21" t="s">
        <v>248</v>
      </c>
      <c r="Q21">
        <v>20260712</v>
      </c>
      <c r="R21" s="1">
        <v>46215.843761574077</v>
      </c>
      <c r="S21">
        <v>20260724</v>
      </c>
      <c r="T21" s="1">
        <v>46227.472916666666</v>
      </c>
      <c r="U21" s="1">
        <v>46220</v>
      </c>
      <c r="V21">
        <v>20260724</v>
      </c>
      <c r="W21" s="1">
        <v>46227</v>
      </c>
      <c r="X21" t="s">
        <v>63</v>
      </c>
      <c r="Y21" t="s">
        <v>64</v>
      </c>
      <c r="Z21" t="s">
        <v>65</v>
      </c>
      <c r="AA21" t="s">
        <v>145</v>
      </c>
      <c r="AB21" t="s">
        <v>146</v>
      </c>
      <c r="AC21" t="s">
        <v>67</v>
      </c>
      <c r="AD21" t="s">
        <v>68</v>
      </c>
      <c r="AE21" t="s">
        <v>69</v>
      </c>
      <c r="AF21" t="s">
        <v>64</v>
      </c>
      <c r="AG21" t="s">
        <v>53</v>
      </c>
      <c r="AH21" t="s">
        <v>70</v>
      </c>
      <c r="AI21" t="s">
        <v>249</v>
      </c>
      <c r="AJ21" t="s">
        <v>72</v>
      </c>
      <c r="AK21">
        <v>2</v>
      </c>
      <c r="AL21" t="s">
        <v>88</v>
      </c>
      <c r="AM21" t="s">
        <v>74</v>
      </c>
      <c r="AN21" t="s">
        <v>250</v>
      </c>
      <c r="AO21" t="s">
        <v>76</v>
      </c>
      <c r="AP21" t="s">
        <v>53</v>
      </c>
      <c r="AR21">
        <v>1</v>
      </c>
      <c r="AS21">
        <v>1</v>
      </c>
      <c r="AT21">
        <v>1</v>
      </c>
      <c r="AU21">
        <v>30083</v>
      </c>
      <c r="AV21" t="s">
        <v>251</v>
      </c>
      <c r="AW21" t="str">
        <f>VLOOKUP(AU21,'[1]1. Area'!$A$2:$B$302,2,0)</f>
        <v>Zone 5</v>
      </c>
    </row>
    <row r="22" spans="1:49" hidden="1" x14ac:dyDescent="0.3">
      <c r="A22" t="s">
        <v>48</v>
      </c>
      <c r="B22" t="s">
        <v>49</v>
      </c>
      <c r="C22" t="s">
        <v>98</v>
      </c>
      <c r="D22" t="s">
        <v>99</v>
      </c>
      <c r="E22" t="s">
        <v>52</v>
      </c>
      <c r="F22" t="s">
        <v>53</v>
      </c>
      <c r="G22" t="s">
        <v>252</v>
      </c>
      <c r="H22" t="s">
        <v>253</v>
      </c>
      <c r="I22" t="s">
        <v>254</v>
      </c>
      <c r="J22">
        <v>1</v>
      </c>
      <c r="K22" t="s">
        <v>121</v>
      </c>
      <c r="L22" t="s">
        <v>122</v>
      </c>
      <c r="M22" t="s">
        <v>123</v>
      </c>
      <c r="N22" t="s">
        <v>124</v>
      </c>
      <c r="O22" t="s">
        <v>255</v>
      </c>
      <c r="P22" t="s">
        <v>256</v>
      </c>
      <c r="Q22">
        <v>20260720</v>
      </c>
      <c r="R22" s="1">
        <v>46223.418749999997</v>
      </c>
      <c r="S22">
        <v>20260724</v>
      </c>
      <c r="T22" s="1">
        <v>46227.671527777777</v>
      </c>
      <c r="U22" s="1">
        <v>46227</v>
      </c>
      <c r="V22">
        <v>20260724</v>
      </c>
      <c r="W22" s="1">
        <v>46227</v>
      </c>
      <c r="X22" t="s">
        <v>63</v>
      </c>
      <c r="Y22" t="s">
        <v>64</v>
      </c>
      <c r="Z22" t="s">
        <v>65</v>
      </c>
      <c r="AA22" t="s">
        <v>130</v>
      </c>
      <c r="AB22" t="s">
        <v>131</v>
      </c>
      <c r="AC22" t="s">
        <v>67</v>
      </c>
      <c r="AD22" t="s">
        <v>68</v>
      </c>
      <c r="AE22" t="s">
        <v>69</v>
      </c>
      <c r="AF22" t="s">
        <v>64</v>
      </c>
      <c r="AG22" t="s">
        <v>53</v>
      </c>
      <c r="AH22" t="s">
        <v>70</v>
      </c>
      <c r="AI22" t="s">
        <v>257</v>
      </c>
      <c r="AJ22" t="s">
        <v>72</v>
      </c>
      <c r="AK22">
        <v>2</v>
      </c>
      <c r="AL22" t="s">
        <v>88</v>
      </c>
      <c r="AM22" t="s">
        <v>74</v>
      </c>
      <c r="AN22" t="s">
        <v>148</v>
      </c>
      <c r="AO22" t="s">
        <v>76</v>
      </c>
      <c r="AP22" t="s">
        <v>53</v>
      </c>
      <c r="AR22">
        <v>1</v>
      </c>
      <c r="AS22">
        <v>1</v>
      </c>
      <c r="AT22">
        <v>1</v>
      </c>
      <c r="AU22">
        <v>30519</v>
      </c>
      <c r="AV22" t="s">
        <v>258</v>
      </c>
      <c r="AW22" t="str">
        <f>VLOOKUP(AU22,'[1]1. Area'!$A$2:$B$302,2,0)</f>
        <v>Zone 5</v>
      </c>
    </row>
    <row r="23" spans="1:49" x14ac:dyDescent="0.3">
      <c r="A23" t="s">
        <v>48</v>
      </c>
      <c r="B23" t="s">
        <v>49</v>
      </c>
      <c r="C23" t="s">
        <v>259</v>
      </c>
      <c r="D23" t="s">
        <v>260</v>
      </c>
      <c r="E23" t="s">
        <v>117</v>
      </c>
      <c r="F23">
        <v>202607</v>
      </c>
      <c r="G23" t="s">
        <v>252</v>
      </c>
      <c r="H23" t="s">
        <v>253</v>
      </c>
      <c r="I23" t="s">
        <v>261</v>
      </c>
      <c r="J23">
        <v>1</v>
      </c>
      <c r="K23" t="s">
        <v>121</v>
      </c>
      <c r="L23" t="s">
        <v>122</v>
      </c>
      <c r="M23" t="s">
        <v>123</v>
      </c>
      <c r="N23" t="s">
        <v>124</v>
      </c>
      <c r="O23" t="s">
        <v>262</v>
      </c>
      <c r="P23" t="s">
        <v>263</v>
      </c>
      <c r="Q23">
        <v>20260714</v>
      </c>
      <c r="R23" s="1">
        <v>46217.713194444441</v>
      </c>
      <c r="S23">
        <v>20260720</v>
      </c>
      <c r="T23" s="1">
        <v>46223</v>
      </c>
      <c r="U23" s="1">
        <v>46218</v>
      </c>
      <c r="V23">
        <v>20260724</v>
      </c>
      <c r="W23" s="1">
        <v>46227.541666666664</v>
      </c>
      <c r="X23" t="s">
        <v>127</v>
      </c>
      <c r="Y23" t="s">
        <v>128</v>
      </c>
      <c r="Z23" t="s">
        <v>264</v>
      </c>
      <c r="AA23" t="s">
        <v>130</v>
      </c>
      <c r="AB23" t="s">
        <v>131</v>
      </c>
      <c r="AC23" t="s">
        <v>67</v>
      </c>
      <c r="AD23" t="s">
        <v>68</v>
      </c>
      <c r="AE23" t="s">
        <v>69</v>
      </c>
      <c r="AF23" t="s">
        <v>132</v>
      </c>
      <c r="AG23" t="s">
        <v>171</v>
      </c>
      <c r="AH23" t="s">
        <v>70</v>
      </c>
      <c r="AI23" t="s">
        <v>265</v>
      </c>
      <c r="AJ23" t="s">
        <v>72</v>
      </c>
      <c r="AK23">
        <v>33</v>
      </c>
      <c r="AL23" t="s">
        <v>88</v>
      </c>
      <c r="AM23" t="s">
        <v>74</v>
      </c>
      <c r="AN23" t="s">
        <v>266</v>
      </c>
      <c r="AO23" t="s">
        <v>76</v>
      </c>
      <c r="AP23">
        <v>20260722</v>
      </c>
      <c r="AQ23" s="1">
        <v>46225.90965277778</v>
      </c>
      <c r="AR23">
        <v>1</v>
      </c>
      <c r="AS23">
        <v>1</v>
      </c>
      <c r="AT23">
        <v>1</v>
      </c>
      <c r="AU23">
        <v>30236</v>
      </c>
      <c r="AV23" t="s">
        <v>267</v>
      </c>
      <c r="AW23" t="str">
        <f>VLOOKUP(AU23,'[1]1. Area'!$A$2:$B$302,2,0)</f>
        <v>Zone 4</v>
      </c>
    </row>
    <row r="24" spans="1:49" hidden="1" x14ac:dyDescent="0.3">
      <c r="A24" t="s">
        <v>48</v>
      </c>
      <c r="B24" t="s">
        <v>49</v>
      </c>
      <c r="C24" t="s">
        <v>259</v>
      </c>
      <c r="D24" t="s">
        <v>260</v>
      </c>
      <c r="E24" t="s">
        <v>117</v>
      </c>
      <c r="F24">
        <v>202607</v>
      </c>
      <c r="G24" t="s">
        <v>268</v>
      </c>
      <c r="H24" t="s">
        <v>269</v>
      </c>
      <c r="I24" t="s">
        <v>270</v>
      </c>
      <c r="J24">
        <v>0</v>
      </c>
      <c r="K24" t="s">
        <v>121</v>
      </c>
      <c r="L24" t="s">
        <v>122</v>
      </c>
      <c r="M24" t="s">
        <v>271</v>
      </c>
      <c r="N24" t="s">
        <v>272</v>
      </c>
      <c r="P24" t="s">
        <v>273</v>
      </c>
      <c r="Q24">
        <v>20260718</v>
      </c>
      <c r="R24" s="1">
        <v>46221.414583333331</v>
      </c>
      <c r="S24">
        <v>20260720</v>
      </c>
      <c r="T24" s="1">
        <v>46223</v>
      </c>
      <c r="U24" s="1">
        <v>46224</v>
      </c>
      <c r="V24">
        <v>20260727</v>
      </c>
      <c r="W24" s="1">
        <v>46230</v>
      </c>
      <c r="X24" t="s">
        <v>127</v>
      </c>
      <c r="Y24" t="s">
        <v>128</v>
      </c>
      <c r="Z24" t="s">
        <v>264</v>
      </c>
      <c r="AA24" t="s">
        <v>274</v>
      </c>
      <c r="AB24" t="s">
        <v>235</v>
      </c>
      <c r="AC24" t="s">
        <v>67</v>
      </c>
      <c r="AD24" t="s">
        <v>68</v>
      </c>
      <c r="AE24" t="s">
        <v>69</v>
      </c>
      <c r="AF24" t="s">
        <v>132</v>
      </c>
      <c r="AG24" t="s">
        <v>171</v>
      </c>
      <c r="AH24" t="s">
        <v>70</v>
      </c>
      <c r="AJ24" t="s">
        <v>72</v>
      </c>
      <c r="AK24">
        <v>33</v>
      </c>
      <c r="AL24" t="s">
        <v>88</v>
      </c>
      <c r="AM24" t="s">
        <v>74</v>
      </c>
      <c r="AN24" t="s">
        <v>275</v>
      </c>
      <c r="AO24" t="s">
        <v>76</v>
      </c>
      <c r="AP24">
        <v>20260722</v>
      </c>
      <c r="AQ24" s="1">
        <v>46225.623171296298</v>
      </c>
      <c r="AR24">
        <v>1</v>
      </c>
      <c r="AS24">
        <v>0</v>
      </c>
      <c r="AT24">
        <v>1</v>
      </c>
      <c r="AU24">
        <v>30214</v>
      </c>
      <c r="AV24" t="s">
        <v>276</v>
      </c>
      <c r="AW24" t="str">
        <f>VLOOKUP(AU24,'[1]1. Area'!$A$2:$B$302,2,0)</f>
        <v>Zone 4</v>
      </c>
    </row>
    <row r="25" spans="1:49" hidden="1" x14ac:dyDescent="0.3">
      <c r="A25" t="s">
        <v>48</v>
      </c>
      <c r="B25" t="s">
        <v>49</v>
      </c>
      <c r="C25" t="s">
        <v>150</v>
      </c>
      <c r="D25" t="s">
        <v>151</v>
      </c>
      <c r="E25" t="s">
        <v>52</v>
      </c>
      <c r="F25" t="s">
        <v>53</v>
      </c>
      <c r="G25" t="s">
        <v>277</v>
      </c>
      <c r="H25" t="s">
        <v>92</v>
      </c>
      <c r="I25" t="s">
        <v>278</v>
      </c>
      <c r="J25">
        <v>1</v>
      </c>
      <c r="K25" t="s">
        <v>57</v>
      </c>
      <c r="L25" t="s">
        <v>58</v>
      </c>
      <c r="M25" t="s">
        <v>59</v>
      </c>
      <c r="N25" t="s">
        <v>60</v>
      </c>
      <c r="O25" t="s">
        <v>163</v>
      </c>
      <c r="P25" t="s">
        <v>279</v>
      </c>
      <c r="Q25">
        <v>20260720</v>
      </c>
      <c r="R25" s="1">
        <v>46223.488194444442</v>
      </c>
      <c r="S25">
        <v>20260724</v>
      </c>
      <c r="T25" s="1">
        <v>46227.613888888889</v>
      </c>
      <c r="U25" s="1">
        <v>46227</v>
      </c>
      <c r="V25">
        <v>20260724</v>
      </c>
      <c r="W25" s="1">
        <v>46227</v>
      </c>
      <c r="X25" t="s">
        <v>63</v>
      </c>
      <c r="Y25" t="s">
        <v>64</v>
      </c>
      <c r="Z25" t="s">
        <v>65</v>
      </c>
      <c r="AA25" t="s">
        <v>66</v>
      </c>
      <c r="AB25" t="s">
        <v>57</v>
      </c>
      <c r="AC25" t="s">
        <v>67</v>
      </c>
      <c r="AD25" t="s">
        <v>68</v>
      </c>
      <c r="AE25" t="s">
        <v>69</v>
      </c>
      <c r="AF25" t="s">
        <v>64</v>
      </c>
      <c r="AG25" t="s">
        <v>53</v>
      </c>
      <c r="AH25" t="s">
        <v>70</v>
      </c>
      <c r="AI25" t="s">
        <v>87</v>
      </c>
      <c r="AJ25" t="s">
        <v>72</v>
      </c>
      <c r="AK25">
        <v>2</v>
      </c>
      <c r="AL25" t="s">
        <v>88</v>
      </c>
      <c r="AM25" t="s">
        <v>74</v>
      </c>
      <c r="AN25" t="s">
        <v>157</v>
      </c>
      <c r="AO25" t="s">
        <v>76</v>
      </c>
      <c r="AP25" t="s">
        <v>53</v>
      </c>
      <c r="AR25">
        <v>1</v>
      </c>
      <c r="AS25">
        <v>1</v>
      </c>
      <c r="AT25">
        <v>1</v>
      </c>
      <c r="AU25">
        <v>30076</v>
      </c>
      <c r="AV25" t="s">
        <v>280</v>
      </c>
      <c r="AW25" t="str">
        <f>VLOOKUP(AU25,'[1]1. Area'!$A$2:$B$302,2,0)</f>
        <v>Zone 2</v>
      </c>
    </row>
    <row r="26" spans="1:49" hidden="1" x14ac:dyDescent="0.3">
      <c r="A26" t="s">
        <v>48</v>
      </c>
      <c r="B26" t="s">
        <v>49</v>
      </c>
      <c r="C26" t="s">
        <v>190</v>
      </c>
      <c r="D26" t="s">
        <v>191</v>
      </c>
      <c r="E26" t="s">
        <v>52</v>
      </c>
      <c r="F26" t="s">
        <v>53</v>
      </c>
      <c r="G26" t="s">
        <v>281</v>
      </c>
      <c r="H26" t="s">
        <v>282</v>
      </c>
      <c r="I26" t="s">
        <v>283</v>
      </c>
      <c r="J26">
        <v>1</v>
      </c>
      <c r="K26" t="s">
        <v>57</v>
      </c>
      <c r="L26" t="s">
        <v>58</v>
      </c>
      <c r="M26" t="s">
        <v>57</v>
      </c>
      <c r="N26" t="s">
        <v>184</v>
      </c>
      <c r="O26" t="s">
        <v>284</v>
      </c>
      <c r="P26" t="s">
        <v>285</v>
      </c>
      <c r="Q26">
        <v>20260720</v>
      </c>
      <c r="R26" s="1">
        <v>46223.48333333333</v>
      </c>
      <c r="S26">
        <v>20260724</v>
      </c>
      <c r="T26" s="1">
        <v>46227</v>
      </c>
      <c r="U26" s="1">
        <v>46227</v>
      </c>
      <c r="V26">
        <v>20260724</v>
      </c>
      <c r="W26" s="1">
        <v>46227</v>
      </c>
      <c r="X26" t="s">
        <v>63</v>
      </c>
      <c r="Y26" t="s">
        <v>64</v>
      </c>
      <c r="Z26" t="s">
        <v>65</v>
      </c>
      <c r="AA26" t="s">
        <v>286</v>
      </c>
      <c r="AB26" t="s">
        <v>57</v>
      </c>
      <c r="AC26" t="s">
        <v>67</v>
      </c>
      <c r="AD26" t="s">
        <v>68</v>
      </c>
      <c r="AE26" t="s">
        <v>69</v>
      </c>
      <c r="AF26" t="s">
        <v>64</v>
      </c>
      <c r="AG26" t="s">
        <v>53</v>
      </c>
      <c r="AH26" t="s">
        <v>70</v>
      </c>
      <c r="AI26" t="s">
        <v>287</v>
      </c>
      <c r="AJ26" t="s">
        <v>72</v>
      </c>
      <c r="AK26">
        <v>2</v>
      </c>
      <c r="AL26" t="s">
        <v>73</v>
      </c>
      <c r="AM26" t="s">
        <v>74</v>
      </c>
      <c r="AN26" t="s">
        <v>196</v>
      </c>
      <c r="AO26" t="s">
        <v>76</v>
      </c>
      <c r="AP26" t="s">
        <v>53</v>
      </c>
      <c r="AR26">
        <v>1</v>
      </c>
      <c r="AS26">
        <v>1</v>
      </c>
      <c r="AT26">
        <v>1</v>
      </c>
      <c r="AU26">
        <v>30033</v>
      </c>
      <c r="AV26" t="s">
        <v>288</v>
      </c>
      <c r="AW26" t="str">
        <f>VLOOKUP(AU26,'[1]1. Area'!$A$2:$B$302,2,0)</f>
        <v>Zone 5</v>
      </c>
    </row>
    <row r="27" spans="1:49" hidden="1" x14ac:dyDescent="0.3">
      <c r="A27" t="s">
        <v>48</v>
      </c>
      <c r="B27" t="s">
        <v>49</v>
      </c>
      <c r="C27" t="s">
        <v>225</v>
      </c>
      <c r="D27" t="s">
        <v>226</v>
      </c>
      <c r="E27" t="s">
        <v>52</v>
      </c>
      <c r="F27">
        <v>202607</v>
      </c>
      <c r="G27" t="s">
        <v>161</v>
      </c>
      <c r="H27" t="s">
        <v>92</v>
      </c>
      <c r="I27" t="s">
        <v>289</v>
      </c>
      <c r="J27">
        <v>1</v>
      </c>
      <c r="K27" t="s">
        <v>57</v>
      </c>
      <c r="L27" t="s">
        <v>58</v>
      </c>
      <c r="M27" t="s">
        <v>59</v>
      </c>
      <c r="N27" t="s">
        <v>60</v>
      </c>
      <c r="O27" t="s">
        <v>163</v>
      </c>
      <c r="P27" t="s">
        <v>290</v>
      </c>
      <c r="Q27">
        <v>20260720</v>
      </c>
      <c r="R27" s="1">
        <v>46223.399305555555</v>
      </c>
      <c r="S27">
        <v>20260724</v>
      </c>
      <c r="T27" s="1">
        <v>46227.642361111109</v>
      </c>
      <c r="U27" s="1">
        <v>46227</v>
      </c>
      <c r="V27">
        <v>20260724</v>
      </c>
      <c r="W27" s="1">
        <v>46227</v>
      </c>
      <c r="X27" t="s">
        <v>63</v>
      </c>
      <c r="Y27" t="s">
        <v>64</v>
      </c>
      <c r="Z27" t="s">
        <v>65</v>
      </c>
      <c r="AA27" t="s">
        <v>66</v>
      </c>
      <c r="AB27" t="s">
        <v>57</v>
      </c>
      <c r="AC27" t="s">
        <v>67</v>
      </c>
      <c r="AD27" t="s">
        <v>68</v>
      </c>
      <c r="AE27" t="s">
        <v>69</v>
      </c>
      <c r="AF27" t="s">
        <v>64</v>
      </c>
      <c r="AG27" t="s">
        <v>86</v>
      </c>
      <c r="AH27" t="s">
        <v>70</v>
      </c>
      <c r="AI27" t="s">
        <v>156</v>
      </c>
      <c r="AJ27" t="s">
        <v>72</v>
      </c>
      <c r="AK27">
        <v>2</v>
      </c>
      <c r="AL27" t="s">
        <v>73</v>
      </c>
      <c r="AM27" t="s">
        <v>74</v>
      </c>
      <c r="AN27" t="s">
        <v>291</v>
      </c>
      <c r="AO27" t="s">
        <v>76</v>
      </c>
      <c r="AP27">
        <v>20260725</v>
      </c>
      <c r="AQ27" s="1">
        <v>46228.647268518522</v>
      </c>
      <c r="AR27">
        <v>1</v>
      </c>
      <c r="AS27">
        <v>1</v>
      </c>
      <c r="AT27">
        <v>1</v>
      </c>
      <c r="AU27">
        <v>30071</v>
      </c>
      <c r="AV27" t="s">
        <v>292</v>
      </c>
      <c r="AW27" t="str">
        <f>VLOOKUP(AU27,'[1]1. Area'!$A$2:$B$302,2,0)</f>
        <v>Zone 2</v>
      </c>
    </row>
    <row r="28" spans="1:49" x14ac:dyDescent="0.3">
      <c r="A28" t="s">
        <v>48</v>
      </c>
      <c r="B28" t="s">
        <v>49</v>
      </c>
      <c r="C28">
        <v>40324200</v>
      </c>
      <c r="D28" t="s">
        <v>116</v>
      </c>
      <c r="E28" t="s">
        <v>117</v>
      </c>
      <c r="F28" t="s">
        <v>53</v>
      </c>
      <c r="G28" t="s">
        <v>293</v>
      </c>
      <c r="H28" t="s">
        <v>294</v>
      </c>
      <c r="I28" t="s">
        <v>295</v>
      </c>
      <c r="J28">
        <v>0</v>
      </c>
      <c r="K28" t="s">
        <v>121</v>
      </c>
      <c r="L28" t="s">
        <v>122</v>
      </c>
      <c r="M28" t="s">
        <v>230</v>
      </c>
      <c r="N28" t="s">
        <v>231</v>
      </c>
      <c r="O28" t="s">
        <v>296</v>
      </c>
      <c r="P28" t="s">
        <v>297</v>
      </c>
      <c r="Q28">
        <v>20260716</v>
      </c>
      <c r="R28" s="1">
        <v>46219.588194444441</v>
      </c>
      <c r="S28" t="s">
        <v>53</v>
      </c>
      <c r="U28" s="1">
        <v>46220</v>
      </c>
      <c r="V28">
        <v>20260724</v>
      </c>
      <c r="W28" s="1">
        <v>46227</v>
      </c>
      <c r="X28" t="s">
        <v>127</v>
      </c>
      <c r="Y28" t="s">
        <v>128</v>
      </c>
      <c r="Z28" t="s">
        <v>129</v>
      </c>
      <c r="AA28" t="s">
        <v>234</v>
      </c>
      <c r="AB28" t="s">
        <v>235</v>
      </c>
      <c r="AC28" t="s">
        <v>67</v>
      </c>
      <c r="AD28" t="s">
        <v>68</v>
      </c>
      <c r="AE28" t="s">
        <v>69</v>
      </c>
      <c r="AF28" t="s">
        <v>132</v>
      </c>
      <c r="AG28" t="s">
        <v>53</v>
      </c>
      <c r="AH28" t="s">
        <v>70</v>
      </c>
      <c r="AJ28" t="s">
        <v>72</v>
      </c>
      <c r="AK28">
        <v>33</v>
      </c>
      <c r="AL28" t="s">
        <v>88</v>
      </c>
      <c r="AM28" t="s">
        <v>74</v>
      </c>
      <c r="AN28" t="s">
        <v>148</v>
      </c>
      <c r="AO28" t="s">
        <v>76</v>
      </c>
      <c r="AP28" t="s">
        <v>53</v>
      </c>
      <c r="AR28">
        <v>1</v>
      </c>
      <c r="AS28">
        <v>0</v>
      </c>
      <c r="AT28">
        <v>1</v>
      </c>
      <c r="AU28">
        <v>30519</v>
      </c>
      <c r="AV28" t="s">
        <v>298</v>
      </c>
      <c r="AW28" t="str">
        <f>VLOOKUP(AU28,'[1]1. Area'!$A$2:$B$302,2,0)</f>
        <v>Zone 5</v>
      </c>
    </row>
    <row r="29" spans="1:49" hidden="1" x14ac:dyDescent="0.3">
      <c r="A29" t="s">
        <v>48</v>
      </c>
      <c r="B29" t="s">
        <v>49</v>
      </c>
      <c r="C29" t="s">
        <v>259</v>
      </c>
      <c r="D29" t="s">
        <v>260</v>
      </c>
      <c r="E29" t="s">
        <v>117</v>
      </c>
      <c r="F29" t="s">
        <v>53</v>
      </c>
      <c r="G29" t="s">
        <v>299</v>
      </c>
      <c r="H29" t="s">
        <v>82</v>
      </c>
      <c r="I29" t="s">
        <v>300</v>
      </c>
      <c r="J29">
        <v>0</v>
      </c>
      <c r="K29" t="s">
        <v>57</v>
      </c>
      <c r="L29" t="s">
        <v>58</v>
      </c>
      <c r="M29" t="s">
        <v>59</v>
      </c>
      <c r="N29" t="s">
        <v>60</v>
      </c>
      <c r="O29" t="s">
        <v>163</v>
      </c>
      <c r="P29" t="s">
        <v>301</v>
      </c>
      <c r="Q29">
        <v>20260720</v>
      </c>
      <c r="R29" s="1">
        <v>46223.688888888886</v>
      </c>
      <c r="S29" t="s">
        <v>53</v>
      </c>
      <c r="U29" s="1">
        <v>46226</v>
      </c>
      <c r="V29">
        <v>20260727</v>
      </c>
      <c r="W29" s="1">
        <v>46230</v>
      </c>
      <c r="X29" t="s">
        <v>127</v>
      </c>
      <c r="Y29" t="s">
        <v>128</v>
      </c>
      <c r="Z29" t="s">
        <v>264</v>
      </c>
      <c r="AA29" t="s">
        <v>66</v>
      </c>
      <c r="AB29" t="s">
        <v>57</v>
      </c>
      <c r="AC29" t="s">
        <v>67</v>
      </c>
      <c r="AD29" t="s">
        <v>68</v>
      </c>
      <c r="AE29" t="s">
        <v>69</v>
      </c>
      <c r="AF29" t="s">
        <v>132</v>
      </c>
      <c r="AG29" t="s">
        <v>53</v>
      </c>
      <c r="AH29" t="s">
        <v>70</v>
      </c>
      <c r="AJ29" t="s">
        <v>72</v>
      </c>
      <c r="AK29">
        <v>33</v>
      </c>
      <c r="AL29" t="s">
        <v>73</v>
      </c>
      <c r="AM29" t="s">
        <v>74</v>
      </c>
      <c r="AN29" t="s">
        <v>180</v>
      </c>
      <c r="AO29" t="s">
        <v>76</v>
      </c>
      <c r="AP29" t="s">
        <v>53</v>
      </c>
      <c r="AR29">
        <v>1</v>
      </c>
      <c r="AS29">
        <v>0</v>
      </c>
      <c r="AT29">
        <v>1</v>
      </c>
      <c r="AU29">
        <v>30263</v>
      </c>
      <c r="AV29" t="s">
        <v>302</v>
      </c>
      <c r="AW29" t="str">
        <f>VLOOKUP(AU29,'[1]1. Area'!$A$2:$B$302,2,0)</f>
        <v>Zone 1</v>
      </c>
    </row>
    <row r="30" spans="1:49" hidden="1" x14ac:dyDescent="0.3">
      <c r="A30" t="s">
        <v>48</v>
      </c>
      <c r="B30" t="s">
        <v>49</v>
      </c>
      <c r="C30" t="s">
        <v>190</v>
      </c>
      <c r="D30" t="s">
        <v>191</v>
      </c>
      <c r="E30" t="s">
        <v>52</v>
      </c>
      <c r="F30">
        <v>202607</v>
      </c>
      <c r="G30" t="s">
        <v>227</v>
      </c>
      <c r="H30" t="s">
        <v>303</v>
      </c>
      <c r="I30" t="s">
        <v>304</v>
      </c>
      <c r="J30">
        <v>0</v>
      </c>
      <c r="K30" t="s">
        <v>121</v>
      </c>
      <c r="L30" t="s">
        <v>122</v>
      </c>
      <c r="M30" t="s">
        <v>230</v>
      </c>
      <c r="N30" t="s">
        <v>231</v>
      </c>
      <c r="O30" t="s">
        <v>305</v>
      </c>
      <c r="P30" t="s">
        <v>306</v>
      </c>
      <c r="Q30">
        <v>20260715</v>
      </c>
      <c r="R30" s="1">
        <v>46218.436805555553</v>
      </c>
      <c r="S30">
        <v>20260724</v>
      </c>
      <c r="T30" s="1">
        <v>46227</v>
      </c>
      <c r="U30" s="1">
        <v>46223</v>
      </c>
      <c r="V30">
        <v>20260724</v>
      </c>
      <c r="W30" s="1">
        <v>46227</v>
      </c>
      <c r="X30" t="s">
        <v>63</v>
      </c>
      <c r="Y30" t="s">
        <v>64</v>
      </c>
      <c r="Z30" t="s">
        <v>65</v>
      </c>
      <c r="AA30" t="s">
        <v>234</v>
      </c>
      <c r="AB30" t="s">
        <v>235</v>
      </c>
      <c r="AC30" t="s">
        <v>67</v>
      </c>
      <c r="AD30" t="s">
        <v>68</v>
      </c>
      <c r="AE30" t="s">
        <v>69</v>
      </c>
      <c r="AF30" t="s">
        <v>64</v>
      </c>
      <c r="AG30" t="s">
        <v>171</v>
      </c>
      <c r="AH30" t="s">
        <v>70</v>
      </c>
      <c r="AJ30" t="s">
        <v>72</v>
      </c>
      <c r="AK30">
        <v>2</v>
      </c>
      <c r="AL30" t="s">
        <v>88</v>
      </c>
      <c r="AM30" t="s">
        <v>74</v>
      </c>
      <c r="AN30" t="s">
        <v>196</v>
      </c>
      <c r="AO30" t="s">
        <v>76</v>
      </c>
      <c r="AP30">
        <v>20260724</v>
      </c>
      <c r="AQ30" s="1">
        <v>46227.918009259258</v>
      </c>
      <c r="AR30">
        <v>1</v>
      </c>
      <c r="AS30">
        <v>0</v>
      </c>
      <c r="AT30">
        <v>1</v>
      </c>
      <c r="AU30">
        <v>30033</v>
      </c>
      <c r="AV30" t="s">
        <v>307</v>
      </c>
      <c r="AW30" t="str">
        <f>VLOOKUP(AU30,'[1]1. Area'!$A$2:$B$302,2,0)</f>
        <v>Zone 5</v>
      </c>
    </row>
    <row r="31" spans="1:49" hidden="1" x14ac:dyDescent="0.3">
      <c r="A31" t="s">
        <v>48</v>
      </c>
      <c r="B31" t="s">
        <v>49</v>
      </c>
      <c r="C31" t="s">
        <v>159</v>
      </c>
      <c r="D31" t="s">
        <v>160</v>
      </c>
      <c r="E31" t="s">
        <v>52</v>
      </c>
      <c r="F31">
        <v>202607</v>
      </c>
      <c r="G31" t="s">
        <v>308</v>
      </c>
      <c r="H31" t="s">
        <v>55</v>
      </c>
      <c r="I31" t="s">
        <v>309</v>
      </c>
      <c r="J31">
        <v>1</v>
      </c>
      <c r="K31" t="s">
        <v>57</v>
      </c>
      <c r="L31" t="s">
        <v>58</v>
      </c>
      <c r="M31" t="s">
        <v>59</v>
      </c>
      <c r="N31" t="s">
        <v>60</v>
      </c>
      <c r="O31" t="s">
        <v>163</v>
      </c>
      <c r="P31" t="s">
        <v>310</v>
      </c>
      <c r="Q31">
        <v>20260715</v>
      </c>
      <c r="R31" s="1">
        <v>46218.34097222222</v>
      </c>
      <c r="S31">
        <v>20260725</v>
      </c>
      <c r="T31" s="1">
        <v>46228.511111111111</v>
      </c>
      <c r="U31" s="1">
        <v>46223</v>
      </c>
      <c r="V31">
        <v>20260725</v>
      </c>
      <c r="W31" s="1">
        <v>46228</v>
      </c>
      <c r="X31" t="s">
        <v>63</v>
      </c>
      <c r="Y31" t="s">
        <v>64</v>
      </c>
      <c r="Z31" t="s">
        <v>65</v>
      </c>
      <c r="AA31" t="s">
        <v>66</v>
      </c>
      <c r="AB31" t="s">
        <v>57</v>
      </c>
      <c r="AC31" t="s">
        <v>67</v>
      </c>
      <c r="AD31" t="s">
        <v>68</v>
      </c>
      <c r="AE31" t="s">
        <v>69</v>
      </c>
      <c r="AF31" t="s">
        <v>64</v>
      </c>
      <c r="AG31" t="s">
        <v>171</v>
      </c>
      <c r="AH31" t="s">
        <v>70</v>
      </c>
      <c r="AI31" t="s">
        <v>311</v>
      </c>
      <c r="AJ31" t="s">
        <v>72</v>
      </c>
      <c r="AK31">
        <v>2</v>
      </c>
      <c r="AL31" t="s">
        <v>88</v>
      </c>
      <c r="AM31" t="s">
        <v>74</v>
      </c>
      <c r="AN31" t="s">
        <v>223</v>
      </c>
      <c r="AO31" t="s">
        <v>76</v>
      </c>
      <c r="AP31">
        <v>20260725</v>
      </c>
      <c r="AQ31" s="1">
        <v>46228.581782407404</v>
      </c>
      <c r="AR31">
        <v>1</v>
      </c>
      <c r="AS31">
        <v>1</v>
      </c>
      <c r="AT31">
        <v>1</v>
      </c>
      <c r="AU31">
        <v>30106</v>
      </c>
      <c r="AV31" t="s">
        <v>312</v>
      </c>
      <c r="AW31" t="str">
        <f>VLOOKUP(AU31,'[1]1. Area'!$A$2:$B$302,2,0)</f>
        <v>Zone 1</v>
      </c>
    </row>
    <row r="32" spans="1:49" x14ac:dyDescent="0.3">
      <c r="A32" t="s">
        <v>48</v>
      </c>
      <c r="B32" t="s">
        <v>49</v>
      </c>
      <c r="C32">
        <v>40324200</v>
      </c>
      <c r="D32" t="s">
        <v>116</v>
      </c>
      <c r="E32" t="s">
        <v>117</v>
      </c>
      <c r="F32" t="s">
        <v>53</v>
      </c>
      <c r="G32" t="s">
        <v>167</v>
      </c>
      <c r="H32" t="s">
        <v>82</v>
      </c>
      <c r="I32" t="s">
        <v>313</v>
      </c>
      <c r="J32">
        <v>0</v>
      </c>
      <c r="K32" t="s">
        <v>57</v>
      </c>
      <c r="L32" t="s">
        <v>58</v>
      </c>
      <c r="M32" t="s">
        <v>59</v>
      </c>
      <c r="N32" t="s">
        <v>60</v>
      </c>
      <c r="O32" t="s">
        <v>163</v>
      </c>
      <c r="P32" t="s">
        <v>314</v>
      </c>
      <c r="Q32">
        <v>20260717</v>
      </c>
      <c r="R32" s="1">
        <v>46220.71875</v>
      </c>
      <c r="S32" t="s">
        <v>53</v>
      </c>
      <c r="U32" s="1">
        <v>46225</v>
      </c>
      <c r="V32">
        <v>20260724</v>
      </c>
      <c r="W32" s="1">
        <v>46227</v>
      </c>
      <c r="X32" t="s">
        <v>127</v>
      </c>
      <c r="Y32" t="s">
        <v>128</v>
      </c>
      <c r="Z32" t="s">
        <v>129</v>
      </c>
      <c r="AA32" t="s">
        <v>66</v>
      </c>
      <c r="AB32" t="s">
        <v>57</v>
      </c>
      <c r="AC32" t="s">
        <v>67</v>
      </c>
      <c r="AD32" t="s">
        <v>68</v>
      </c>
      <c r="AE32" t="s">
        <v>69</v>
      </c>
      <c r="AF32" t="s">
        <v>132</v>
      </c>
      <c r="AG32" t="s">
        <v>53</v>
      </c>
      <c r="AH32" t="s">
        <v>70</v>
      </c>
      <c r="AJ32" t="s">
        <v>72</v>
      </c>
      <c r="AK32">
        <v>33</v>
      </c>
      <c r="AL32" t="s">
        <v>105</v>
      </c>
      <c r="AM32" t="s">
        <v>74</v>
      </c>
      <c r="AN32" t="s">
        <v>315</v>
      </c>
      <c r="AO32" t="s">
        <v>76</v>
      </c>
      <c r="AP32" t="s">
        <v>53</v>
      </c>
      <c r="AR32">
        <v>1</v>
      </c>
      <c r="AS32">
        <v>0</v>
      </c>
      <c r="AT32">
        <v>1</v>
      </c>
      <c r="AU32">
        <v>30319</v>
      </c>
      <c r="AV32" t="s">
        <v>316</v>
      </c>
      <c r="AW32" t="str">
        <f>VLOOKUP(AU32,'[1]1. Area'!$A$2:$B$302,2,0)</f>
        <v>Zone 5</v>
      </c>
    </row>
    <row r="33" spans="1:49" hidden="1" x14ac:dyDescent="0.3">
      <c r="A33" t="s">
        <v>48</v>
      </c>
      <c r="B33" t="s">
        <v>49</v>
      </c>
      <c r="C33">
        <v>40324200</v>
      </c>
      <c r="D33" t="s">
        <v>116</v>
      </c>
      <c r="E33" t="s">
        <v>117</v>
      </c>
      <c r="F33" t="s">
        <v>53</v>
      </c>
      <c r="G33" t="s">
        <v>317</v>
      </c>
      <c r="H33" t="s">
        <v>55</v>
      </c>
      <c r="I33" t="s">
        <v>318</v>
      </c>
      <c r="J33">
        <v>0</v>
      </c>
      <c r="K33" t="s">
        <v>57</v>
      </c>
      <c r="L33" t="s">
        <v>58</v>
      </c>
      <c r="M33" t="s">
        <v>59</v>
      </c>
      <c r="N33" t="s">
        <v>60</v>
      </c>
      <c r="O33" t="s">
        <v>319</v>
      </c>
      <c r="P33" t="s">
        <v>320</v>
      </c>
      <c r="Q33">
        <v>20260721</v>
      </c>
      <c r="R33" s="1">
        <v>46224.5</v>
      </c>
      <c r="S33">
        <v>20260722</v>
      </c>
      <c r="T33" s="1">
        <v>46225.537037037036</v>
      </c>
      <c r="U33" s="1">
        <v>46230</v>
      </c>
      <c r="V33">
        <v>20260727</v>
      </c>
      <c r="W33" s="1">
        <v>46230</v>
      </c>
      <c r="X33" t="s">
        <v>127</v>
      </c>
      <c r="Y33" t="s">
        <v>128</v>
      </c>
      <c r="Z33" t="s">
        <v>129</v>
      </c>
      <c r="AA33" t="s">
        <v>66</v>
      </c>
      <c r="AB33" t="s">
        <v>57</v>
      </c>
      <c r="AC33" t="s">
        <v>67</v>
      </c>
      <c r="AD33" t="s">
        <v>68</v>
      </c>
      <c r="AE33" t="s">
        <v>69</v>
      </c>
      <c r="AF33" t="s">
        <v>132</v>
      </c>
      <c r="AG33" t="s">
        <v>53</v>
      </c>
      <c r="AH33" t="s">
        <v>70</v>
      </c>
      <c r="AJ33" t="s">
        <v>72</v>
      </c>
      <c r="AK33">
        <v>33</v>
      </c>
      <c r="AL33" t="s">
        <v>88</v>
      </c>
      <c r="AM33" t="s">
        <v>74</v>
      </c>
      <c r="AN33" t="s">
        <v>114</v>
      </c>
      <c r="AO33" t="s">
        <v>76</v>
      </c>
      <c r="AP33" t="s">
        <v>53</v>
      </c>
      <c r="AR33">
        <v>1</v>
      </c>
      <c r="AS33">
        <v>0</v>
      </c>
      <c r="AT33">
        <v>1</v>
      </c>
      <c r="AU33">
        <v>30253</v>
      </c>
      <c r="AV33" t="s">
        <v>321</v>
      </c>
      <c r="AW33" t="str">
        <f>VLOOKUP(AU33,'[1]1. Area'!$A$2:$B$302,2,0)</f>
        <v>Zone 4</v>
      </c>
    </row>
    <row r="34" spans="1:49" x14ac:dyDescent="0.3">
      <c r="A34" t="s">
        <v>48</v>
      </c>
      <c r="B34" t="s">
        <v>49</v>
      </c>
      <c r="C34" t="s">
        <v>259</v>
      </c>
      <c r="D34" t="s">
        <v>260</v>
      </c>
      <c r="E34" t="s">
        <v>117</v>
      </c>
      <c r="F34" t="s">
        <v>53</v>
      </c>
      <c r="G34" t="s">
        <v>322</v>
      </c>
      <c r="H34" t="s">
        <v>323</v>
      </c>
      <c r="I34" t="s">
        <v>324</v>
      </c>
      <c r="J34">
        <v>0</v>
      </c>
      <c r="K34" t="s">
        <v>139</v>
      </c>
      <c r="L34" t="s">
        <v>140</v>
      </c>
      <c r="M34" t="s">
        <v>325</v>
      </c>
      <c r="N34" t="s">
        <v>326</v>
      </c>
      <c r="O34" t="s">
        <v>327</v>
      </c>
      <c r="P34" t="s">
        <v>328</v>
      </c>
      <c r="Q34">
        <v>20260714</v>
      </c>
      <c r="R34" s="1">
        <v>46217.652083333334</v>
      </c>
      <c r="S34" t="s">
        <v>53</v>
      </c>
      <c r="U34" s="1">
        <v>46218</v>
      </c>
      <c r="V34">
        <v>20260724</v>
      </c>
      <c r="W34" s="1">
        <v>46227</v>
      </c>
      <c r="X34" t="s">
        <v>127</v>
      </c>
      <c r="Y34" t="s">
        <v>128</v>
      </c>
      <c r="Z34" t="s">
        <v>264</v>
      </c>
      <c r="AA34" t="s">
        <v>329</v>
      </c>
      <c r="AB34" t="s">
        <v>146</v>
      </c>
      <c r="AC34" t="s">
        <v>67</v>
      </c>
      <c r="AD34" t="s">
        <v>68</v>
      </c>
      <c r="AE34" t="s">
        <v>69</v>
      </c>
      <c r="AF34" t="s">
        <v>132</v>
      </c>
      <c r="AG34" t="s">
        <v>53</v>
      </c>
      <c r="AH34" t="s">
        <v>70</v>
      </c>
      <c r="AJ34" t="s">
        <v>72</v>
      </c>
      <c r="AK34">
        <v>33</v>
      </c>
      <c r="AL34" t="s">
        <v>88</v>
      </c>
      <c r="AM34" t="s">
        <v>74</v>
      </c>
      <c r="AN34" t="s">
        <v>330</v>
      </c>
      <c r="AO34" t="s">
        <v>76</v>
      </c>
      <c r="AP34" t="s">
        <v>53</v>
      </c>
      <c r="AR34">
        <v>1</v>
      </c>
      <c r="AS34">
        <v>0</v>
      </c>
      <c r="AT34">
        <v>1</v>
      </c>
      <c r="AU34">
        <v>30213</v>
      </c>
      <c r="AV34" t="s">
        <v>331</v>
      </c>
      <c r="AW34" t="str">
        <f>VLOOKUP(AU34,'[1]1. Area'!$A$2:$B$302,2,0)</f>
        <v>Zone 1</v>
      </c>
    </row>
    <row r="35" spans="1:49" hidden="1" x14ac:dyDescent="0.3">
      <c r="A35" t="s">
        <v>48</v>
      </c>
      <c r="B35" t="s">
        <v>49</v>
      </c>
      <c r="C35" t="s">
        <v>198</v>
      </c>
      <c r="D35" t="s">
        <v>199</v>
      </c>
      <c r="E35" t="s">
        <v>52</v>
      </c>
      <c r="F35" t="s">
        <v>53</v>
      </c>
      <c r="G35" t="s">
        <v>332</v>
      </c>
      <c r="H35" t="s">
        <v>333</v>
      </c>
      <c r="I35" t="s">
        <v>334</v>
      </c>
      <c r="J35">
        <v>2</v>
      </c>
      <c r="K35" t="s">
        <v>139</v>
      </c>
      <c r="L35" t="s">
        <v>140</v>
      </c>
      <c r="M35" t="s">
        <v>141</v>
      </c>
      <c r="N35" t="s">
        <v>142</v>
      </c>
      <c r="P35" t="s">
        <v>335</v>
      </c>
      <c r="Q35">
        <v>20260710</v>
      </c>
      <c r="R35" s="1">
        <v>46213.402789351851</v>
      </c>
      <c r="S35">
        <v>20260724</v>
      </c>
      <c r="T35" s="1">
        <v>46227.707638888889</v>
      </c>
      <c r="U35" s="1">
        <v>46217</v>
      </c>
      <c r="V35">
        <v>20260724</v>
      </c>
      <c r="W35" s="1">
        <v>46227</v>
      </c>
      <c r="X35" t="s">
        <v>63</v>
      </c>
      <c r="Y35" t="s">
        <v>64</v>
      </c>
      <c r="Z35" t="s">
        <v>65</v>
      </c>
      <c r="AA35" t="s">
        <v>145</v>
      </c>
      <c r="AB35" t="s">
        <v>146</v>
      </c>
      <c r="AC35" t="s">
        <v>67</v>
      </c>
      <c r="AD35" t="s">
        <v>68</v>
      </c>
      <c r="AE35" t="s">
        <v>69</v>
      </c>
      <c r="AF35" t="s">
        <v>64</v>
      </c>
      <c r="AG35" t="s">
        <v>53</v>
      </c>
      <c r="AH35" t="s">
        <v>70</v>
      </c>
      <c r="AI35" t="s">
        <v>336</v>
      </c>
      <c r="AJ35" t="s">
        <v>72</v>
      </c>
      <c r="AK35">
        <v>2</v>
      </c>
      <c r="AL35" t="s">
        <v>88</v>
      </c>
      <c r="AM35" t="s">
        <v>74</v>
      </c>
      <c r="AN35" t="s">
        <v>337</v>
      </c>
      <c r="AO35" t="s">
        <v>76</v>
      </c>
      <c r="AP35" t="s">
        <v>53</v>
      </c>
      <c r="AR35">
        <v>1</v>
      </c>
      <c r="AS35">
        <v>2</v>
      </c>
      <c r="AT35">
        <v>1</v>
      </c>
      <c r="AU35">
        <v>30039</v>
      </c>
      <c r="AV35" t="s">
        <v>338</v>
      </c>
      <c r="AW35" t="str">
        <f>VLOOKUP(AU35,'[1]1. Area'!$A$2:$B$302,2,0)</f>
        <v>Zone 5</v>
      </c>
    </row>
    <row r="36" spans="1:49" hidden="1" x14ac:dyDescent="0.3">
      <c r="A36" t="s">
        <v>48</v>
      </c>
      <c r="B36" t="s">
        <v>49</v>
      </c>
      <c r="C36" t="s">
        <v>98</v>
      </c>
      <c r="D36" t="s">
        <v>99</v>
      </c>
      <c r="E36" t="s">
        <v>52</v>
      </c>
      <c r="F36">
        <v>202607</v>
      </c>
      <c r="G36" t="s">
        <v>339</v>
      </c>
      <c r="H36" t="s">
        <v>82</v>
      </c>
      <c r="I36" t="s">
        <v>340</v>
      </c>
      <c r="J36">
        <v>0</v>
      </c>
      <c r="K36" t="s">
        <v>57</v>
      </c>
      <c r="L36" t="s">
        <v>58</v>
      </c>
      <c r="M36" t="s">
        <v>59</v>
      </c>
      <c r="N36" t="s">
        <v>60</v>
      </c>
      <c r="O36" t="s">
        <v>341</v>
      </c>
      <c r="P36" t="s">
        <v>342</v>
      </c>
      <c r="Q36">
        <v>20260719</v>
      </c>
      <c r="R36" s="1">
        <v>46222.60833333333</v>
      </c>
      <c r="S36">
        <v>20260724</v>
      </c>
      <c r="T36" s="1">
        <v>46227.493750000001</v>
      </c>
      <c r="U36" s="1">
        <v>46227</v>
      </c>
      <c r="V36">
        <v>20260724</v>
      </c>
      <c r="W36" s="1">
        <v>46227</v>
      </c>
      <c r="X36" t="s">
        <v>63</v>
      </c>
      <c r="Y36" t="s">
        <v>64</v>
      </c>
      <c r="Z36" t="s">
        <v>65</v>
      </c>
      <c r="AA36" t="s">
        <v>66</v>
      </c>
      <c r="AB36" t="s">
        <v>57</v>
      </c>
      <c r="AC36" t="s">
        <v>67</v>
      </c>
      <c r="AD36" t="s">
        <v>68</v>
      </c>
      <c r="AE36" t="s">
        <v>69</v>
      </c>
      <c r="AF36" t="s">
        <v>64</v>
      </c>
      <c r="AG36" t="s">
        <v>171</v>
      </c>
      <c r="AH36" t="s">
        <v>70</v>
      </c>
      <c r="AJ36" t="s">
        <v>72</v>
      </c>
      <c r="AK36">
        <v>2</v>
      </c>
      <c r="AL36" t="s">
        <v>88</v>
      </c>
      <c r="AM36" t="s">
        <v>74</v>
      </c>
      <c r="AN36" t="s">
        <v>343</v>
      </c>
      <c r="AO36" t="s">
        <v>76</v>
      </c>
      <c r="AP36">
        <v>20260724</v>
      </c>
      <c r="AQ36" s="1">
        <v>46227.7890625</v>
      </c>
      <c r="AR36">
        <v>1</v>
      </c>
      <c r="AS36">
        <v>0</v>
      </c>
      <c r="AT36">
        <v>1</v>
      </c>
      <c r="AU36">
        <v>30549</v>
      </c>
      <c r="AV36" t="s">
        <v>344</v>
      </c>
      <c r="AW36" t="str">
        <f>VLOOKUP(AU36,'[1]1. Area'!$A$2:$B$302,2,0)</f>
        <v>Zone 5</v>
      </c>
    </row>
    <row r="37" spans="1:49" hidden="1" x14ac:dyDescent="0.3">
      <c r="A37" t="s">
        <v>48</v>
      </c>
      <c r="B37" t="s">
        <v>49</v>
      </c>
      <c r="C37" t="s">
        <v>98</v>
      </c>
      <c r="D37" t="s">
        <v>99</v>
      </c>
      <c r="E37" t="s">
        <v>52</v>
      </c>
      <c r="F37" t="s">
        <v>53</v>
      </c>
      <c r="G37" t="s">
        <v>345</v>
      </c>
      <c r="H37" t="s">
        <v>82</v>
      </c>
      <c r="I37" t="s">
        <v>346</v>
      </c>
      <c r="J37">
        <v>1</v>
      </c>
      <c r="K37" t="s">
        <v>57</v>
      </c>
      <c r="L37" t="s">
        <v>58</v>
      </c>
      <c r="M37" t="s">
        <v>59</v>
      </c>
      <c r="N37" t="s">
        <v>60</v>
      </c>
      <c r="O37" t="s">
        <v>347</v>
      </c>
      <c r="P37" t="s">
        <v>348</v>
      </c>
      <c r="Q37">
        <v>20260720</v>
      </c>
      <c r="R37" s="1">
        <v>46223.480555555558</v>
      </c>
      <c r="S37">
        <v>20260724</v>
      </c>
      <c r="T37" s="1">
        <v>46227.72152777778</v>
      </c>
      <c r="U37" s="1">
        <v>46227</v>
      </c>
      <c r="V37">
        <v>20260724</v>
      </c>
      <c r="W37" s="1">
        <v>46227</v>
      </c>
      <c r="X37" t="s">
        <v>63</v>
      </c>
      <c r="Y37" t="s">
        <v>64</v>
      </c>
      <c r="Z37" t="s">
        <v>65</v>
      </c>
      <c r="AA37" t="s">
        <v>66</v>
      </c>
      <c r="AB37" t="s">
        <v>57</v>
      </c>
      <c r="AC37" t="s">
        <v>67</v>
      </c>
      <c r="AD37" t="s">
        <v>68</v>
      </c>
      <c r="AE37" t="s">
        <v>69</v>
      </c>
      <c r="AF37" t="s">
        <v>64</v>
      </c>
      <c r="AG37" t="s">
        <v>53</v>
      </c>
      <c r="AH37" t="s">
        <v>70</v>
      </c>
      <c r="AI37" t="s">
        <v>349</v>
      </c>
      <c r="AJ37" t="s">
        <v>72</v>
      </c>
      <c r="AK37">
        <v>2</v>
      </c>
      <c r="AL37" t="s">
        <v>88</v>
      </c>
      <c r="AM37" t="s">
        <v>74</v>
      </c>
      <c r="AN37" t="s">
        <v>350</v>
      </c>
      <c r="AO37" t="s">
        <v>76</v>
      </c>
      <c r="AP37" t="s">
        <v>53</v>
      </c>
      <c r="AR37">
        <v>1</v>
      </c>
      <c r="AS37">
        <v>1</v>
      </c>
      <c r="AT37">
        <v>1</v>
      </c>
      <c r="AU37">
        <v>30019</v>
      </c>
      <c r="AV37" t="s">
        <v>351</v>
      </c>
      <c r="AW37" t="str">
        <f>VLOOKUP(AU37,'[1]1. Area'!$A$2:$B$302,2,0)</f>
        <v>Zone 5</v>
      </c>
    </row>
    <row r="38" spans="1:49" x14ac:dyDescent="0.3">
      <c r="A38" t="s">
        <v>48</v>
      </c>
      <c r="B38" t="s">
        <v>49</v>
      </c>
      <c r="C38" t="s">
        <v>259</v>
      </c>
      <c r="D38" t="s">
        <v>260</v>
      </c>
      <c r="E38" t="s">
        <v>117</v>
      </c>
      <c r="F38">
        <v>202607</v>
      </c>
      <c r="G38" t="s">
        <v>200</v>
      </c>
      <c r="H38" t="s">
        <v>82</v>
      </c>
      <c r="I38" t="s">
        <v>352</v>
      </c>
      <c r="J38">
        <v>1</v>
      </c>
      <c r="K38" t="s">
        <v>57</v>
      </c>
      <c r="L38" t="s">
        <v>58</v>
      </c>
      <c r="M38" t="s">
        <v>202</v>
      </c>
      <c r="N38" t="s">
        <v>203</v>
      </c>
      <c r="O38" t="s">
        <v>353</v>
      </c>
      <c r="P38" t="s">
        <v>354</v>
      </c>
      <c r="Q38">
        <v>20260715</v>
      </c>
      <c r="R38" s="1">
        <v>46218.538888888892</v>
      </c>
      <c r="S38">
        <v>20260720</v>
      </c>
      <c r="T38" s="1">
        <v>46223</v>
      </c>
      <c r="U38" s="1">
        <v>46219</v>
      </c>
      <c r="V38">
        <v>20260724</v>
      </c>
      <c r="W38" s="1">
        <v>46227</v>
      </c>
      <c r="X38" t="s">
        <v>127</v>
      </c>
      <c r="Y38" t="s">
        <v>128</v>
      </c>
      <c r="Z38" t="s">
        <v>264</v>
      </c>
      <c r="AA38" t="s">
        <v>205</v>
      </c>
      <c r="AB38" t="s">
        <v>57</v>
      </c>
      <c r="AC38" t="s">
        <v>67</v>
      </c>
      <c r="AD38" t="s">
        <v>68</v>
      </c>
      <c r="AE38" t="s">
        <v>69</v>
      </c>
      <c r="AF38" t="s">
        <v>132</v>
      </c>
      <c r="AG38" t="s">
        <v>171</v>
      </c>
      <c r="AH38" t="s">
        <v>70</v>
      </c>
      <c r="AI38" t="s">
        <v>355</v>
      </c>
      <c r="AJ38" t="s">
        <v>72</v>
      </c>
      <c r="AK38">
        <v>33</v>
      </c>
      <c r="AL38" t="s">
        <v>88</v>
      </c>
      <c r="AM38" t="s">
        <v>74</v>
      </c>
      <c r="AN38" t="s">
        <v>356</v>
      </c>
      <c r="AO38" t="s">
        <v>76</v>
      </c>
      <c r="AP38">
        <v>20260722</v>
      </c>
      <c r="AQ38" s="1">
        <v>46225.623171296298</v>
      </c>
      <c r="AR38">
        <v>1</v>
      </c>
      <c r="AS38">
        <v>1</v>
      </c>
      <c r="AT38">
        <v>1</v>
      </c>
      <c r="AU38">
        <v>30214</v>
      </c>
      <c r="AV38" t="s">
        <v>357</v>
      </c>
      <c r="AW38" t="str">
        <f>VLOOKUP(AU38,'[1]1. Area'!$A$2:$B$302,2,0)</f>
        <v>Zone 4</v>
      </c>
    </row>
    <row r="39" spans="1:49" hidden="1" x14ac:dyDescent="0.3">
      <c r="A39" t="s">
        <v>48</v>
      </c>
      <c r="B39" t="s">
        <v>49</v>
      </c>
      <c r="C39" t="s">
        <v>259</v>
      </c>
      <c r="D39" t="s">
        <v>260</v>
      </c>
      <c r="E39" t="s">
        <v>117</v>
      </c>
      <c r="F39">
        <v>202607</v>
      </c>
      <c r="G39" t="s">
        <v>358</v>
      </c>
      <c r="H39" t="s">
        <v>359</v>
      </c>
      <c r="I39" t="s">
        <v>360</v>
      </c>
      <c r="J39">
        <v>0</v>
      </c>
      <c r="K39" t="s">
        <v>121</v>
      </c>
      <c r="L39" t="s">
        <v>122</v>
      </c>
      <c r="M39" t="s">
        <v>271</v>
      </c>
      <c r="N39" t="s">
        <v>272</v>
      </c>
      <c r="O39" t="s">
        <v>361</v>
      </c>
      <c r="P39" t="s">
        <v>362</v>
      </c>
      <c r="Q39">
        <v>20260715</v>
      </c>
      <c r="R39" s="1">
        <v>46218.770833333336</v>
      </c>
      <c r="S39">
        <v>20260720</v>
      </c>
      <c r="T39" s="1">
        <v>46223</v>
      </c>
      <c r="U39" s="1">
        <v>46220</v>
      </c>
      <c r="V39">
        <v>20260727</v>
      </c>
      <c r="W39" s="1">
        <v>46230</v>
      </c>
      <c r="X39" t="s">
        <v>127</v>
      </c>
      <c r="Y39" t="s">
        <v>128</v>
      </c>
      <c r="Z39" t="s">
        <v>264</v>
      </c>
      <c r="AA39" t="s">
        <v>274</v>
      </c>
      <c r="AB39" t="s">
        <v>235</v>
      </c>
      <c r="AC39" t="s">
        <v>67</v>
      </c>
      <c r="AD39" t="s">
        <v>68</v>
      </c>
      <c r="AE39" t="s">
        <v>69</v>
      </c>
      <c r="AF39" t="s">
        <v>132</v>
      </c>
      <c r="AG39" t="s">
        <v>171</v>
      </c>
      <c r="AH39" t="s">
        <v>70</v>
      </c>
      <c r="AJ39" t="s">
        <v>72</v>
      </c>
      <c r="AK39">
        <v>33</v>
      </c>
      <c r="AL39" t="s">
        <v>105</v>
      </c>
      <c r="AM39" t="s">
        <v>74</v>
      </c>
      <c r="AN39" t="s">
        <v>275</v>
      </c>
      <c r="AO39" t="s">
        <v>76</v>
      </c>
      <c r="AP39">
        <v>20260722</v>
      </c>
      <c r="AQ39" s="1">
        <v>46225.623171296298</v>
      </c>
      <c r="AR39">
        <v>1</v>
      </c>
      <c r="AS39">
        <v>0</v>
      </c>
      <c r="AT39">
        <v>1</v>
      </c>
      <c r="AU39">
        <v>30215</v>
      </c>
      <c r="AV39" t="s">
        <v>363</v>
      </c>
      <c r="AW39" t="str">
        <f>VLOOKUP(AU39,'[1]1. Area'!$A$2:$B$302,2,0)</f>
        <v>Zone 4</v>
      </c>
    </row>
    <row r="40" spans="1:49" hidden="1" x14ac:dyDescent="0.3">
      <c r="A40" t="s">
        <v>48</v>
      </c>
      <c r="B40" t="s">
        <v>49</v>
      </c>
      <c r="C40" t="s">
        <v>198</v>
      </c>
      <c r="D40" t="s">
        <v>199</v>
      </c>
      <c r="E40" t="s">
        <v>52</v>
      </c>
      <c r="F40">
        <v>202607</v>
      </c>
      <c r="G40" t="s">
        <v>364</v>
      </c>
      <c r="H40" t="s">
        <v>365</v>
      </c>
      <c r="I40" t="s">
        <v>366</v>
      </c>
      <c r="J40">
        <v>0</v>
      </c>
      <c r="K40" t="s">
        <v>139</v>
      </c>
      <c r="L40" t="s">
        <v>140</v>
      </c>
      <c r="M40" t="s">
        <v>141</v>
      </c>
      <c r="N40" t="s">
        <v>142</v>
      </c>
      <c r="O40" t="s">
        <v>367</v>
      </c>
      <c r="P40" t="s">
        <v>368</v>
      </c>
      <c r="Q40">
        <v>20260718</v>
      </c>
      <c r="R40" s="1">
        <v>46221.349305555559</v>
      </c>
      <c r="S40">
        <v>20260724</v>
      </c>
      <c r="T40" s="1">
        <v>46227.597222222219</v>
      </c>
      <c r="U40" s="1">
        <v>46226</v>
      </c>
      <c r="V40">
        <v>20260724</v>
      </c>
      <c r="W40" s="1">
        <v>46227</v>
      </c>
      <c r="X40" t="s">
        <v>63</v>
      </c>
      <c r="Y40" t="s">
        <v>64</v>
      </c>
      <c r="Z40" t="s">
        <v>65</v>
      </c>
      <c r="AA40" t="s">
        <v>213</v>
      </c>
      <c r="AB40" t="s">
        <v>146</v>
      </c>
      <c r="AC40" t="s">
        <v>67</v>
      </c>
      <c r="AD40" t="s">
        <v>68</v>
      </c>
      <c r="AE40" t="s">
        <v>69</v>
      </c>
      <c r="AF40" t="s">
        <v>64</v>
      </c>
      <c r="AG40" t="s">
        <v>86</v>
      </c>
      <c r="AH40" t="s">
        <v>70</v>
      </c>
      <c r="AJ40" t="s">
        <v>72</v>
      </c>
      <c r="AK40">
        <v>2</v>
      </c>
      <c r="AL40" t="s">
        <v>105</v>
      </c>
      <c r="AM40" t="s">
        <v>74</v>
      </c>
      <c r="AN40" t="s">
        <v>206</v>
      </c>
      <c r="AO40" t="s">
        <v>76</v>
      </c>
      <c r="AP40">
        <v>20260724</v>
      </c>
      <c r="AQ40" s="1">
        <v>46227.918009259258</v>
      </c>
      <c r="AR40">
        <v>1</v>
      </c>
      <c r="AS40">
        <v>0</v>
      </c>
      <c r="AT40">
        <v>1</v>
      </c>
      <c r="AU40">
        <v>30013</v>
      </c>
      <c r="AV40" t="s">
        <v>369</v>
      </c>
      <c r="AW40" t="str">
        <f>VLOOKUP(AU40,'[1]1. Area'!$A$2:$B$302,2,0)</f>
        <v>Zone 4</v>
      </c>
    </row>
    <row r="41" spans="1:49" x14ac:dyDescent="0.3">
      <c r="A41" t="s">
        <v>48</v>
      </c>
      <c r="B41" t="s">
        <v>49</v>
      </c>
      <c r="C41" t="s">
        <v>259</v>
      </c>
      <c r="D41" t="s">
        <v>260</v>
      </c>
      <c r="E41" t="s">
        <v>117</v>
      </c>
      <c r="F41" t="s">
        <v>53</v>
      </c>
      <c r="G41" t="s">
        <v>100</v>
      </c>
      <c r="H41" t="s">
        <v>82</v>
      </c>
      <c r="I41" t="s">
        <v>370</v>
      </c>
      <c r="J41">
        <v>0</v>
      </c>
      <c r="K41" t="s">
        <v>57</v>
      </c>
      <c r="L41" t="s">
        <v>58</v>
      </c>
      <c r="M41" t="s">
        <v>59</v>
      </c>
      <c r="N41" t="s">
        <v>60</v>
      </c>
      <c r="O41" t="s">
        <v>241</v>
      </c>
      <c r="P41" t="s">
        <v>371</v>
      </c>
      <c r="Q41">
        <v>20260716</v>
      </c>
      <c r="R41" s="1">
        <v>46219.657638888886</v>
      </c>
      <c r="S41" t="s">
        <v>53</v>
      </c>
      <c r="U41" s="1">
        <v>46220</v>
      </c>
      <c r="V41">
        <v>20260724</v>
      </c>
      <c r="W41" s="1">
        <v>46227</v>
      </c>
      <c r="X41" t="s">
        <v>127</v>
      </c>
      <c r="Y41" t="s">
        <v>128</v>
      </c>
      <c r="Z41" t="s">
        <v>264</v>
      </c>
      <c r="AA41" t="s">
        <v>66</v>
      </c>
      <c r="AB41" t="s">
        <v>57</v>
      </c>
      <c r="AC41" t="s">
        <v>67</v>
      </c>
      <c r="AD41" t="s">
        <v>68</v>
      </c>
      <c r="AE41" t="s">
        <v>69</v>
      </c>
      <c r="AF41" t="s">
        <v>132</v>
      </c>
      <c r="AG41" t="s">
        <v>53</v>
      </c>
      <c r="AH41" t="s">
        <v>70</v>
      </c>
      <c r="AJ41" t="s">
        <v>72</v>
      </c>
      <c r="AK41">
        <v>33</v>
      </c>
      <c r="AL41" t="s">
        <v>88</v>
      </c>
      <c r="AM41" t="s">
        <v>74</v>
      </c>
      <c r="AN41" t="s">
        <v>372</v>
      </c>
      <c r="AO41" t="s">
        <v>76</v>
      </c>
      <c r="AP41" t="s">
        <v>53</v>
      </c>
      <c r="AR41">
        <v>1</v>
      </c>
      <c r="AS41">
        <v>0</v>
      </c>
      <c r="AT41">
        <v>1</v>
      </c>
      <c r="AU41">
        <v>30269</v>
      </c>
      <c r="AV41" t="s">
        <v>373</v>
      </c>
      <c r="AW41" t="str">
        <f>VLOOKUP(AU41,'[1]1. Area'!$A$2:$B$302,2,0)</f>
        <v>Zone 4</v>
      </c>
    </row>
    <row r="42" spans="1:49" hidden="1" x14ac:dyDescent="0.3">
      <c r="A42" t="s">
        <v>48</v>
      </c>
      <c r="B42" t="s">
        <v>49</v>
      </c>
      <c r="C42" t="s">
        <v>150</v>
      </c>
      <c r="D42" t="s">
        <v>151</v>
      </c>
      <c r="E42" t="s">
        <v>52</v>
      </c>
      <c r="F42" t="s">
        <v>53</v>
      </c>
      <c r="G42" t="s">
        <v>374</v>
      </c>
      <c r="H42" t="s">
        <v>375</v>
      </c>
      <c r="I42" t="s">
        <v>376</v>
      </c>
      <c r="J42">
        <v>0</v>
      </c>
      <c r="K42" t="s">
        <v>121</v>
      </c>
      <c r="L42" t="s">
        <v>122</v>
      </c>
      <c r="M42" t="s">
        <v>235</v>
      </c>
      <c r="N42" t="s">
        <v>377</v>
      </c>
      <c r="P42" t="s">
        <v>378</v>
      </c>
      <c r="Q42">
        <v>20260715</v>
      </c>
      <c r="R42" s="1">
        <v>46218.390277777777</v>
      </c>
      <c r="S42">
        <v>20260724</v>
      </c>
      <c r="T42" s="1">
        <v>46227.518750000003</v>
      </c>
      <c r="U42" s="1">
        <v>46223</v>
      </c>
      <c r="V42">
        <v>20260724</v>
      </c>
      <c r="W42" s="1">
        <v>46227</v>
      </c>
      <c r="X42" t="s">
        <v>63</v>
      </c>
      <c r="Y42" t="s">
        <v>64</v>
      </c>
      <c r="Z42" t="s">
        <v>65</v>
      </c>
      <c r="AA42" t="s">
        <v>379</v>
      </c>
      <c r="AB42" t="s">
        <v>235</v>
      </c>
      <c r="AC42" t="s">
        <v>67</v>
      </c>
      <c r="AD42" t="s">
        <v>68</v>
      </c>
      <c r="AE42" t="s">
        <v>69</v>
      </c>
      <c r="AF42" t="s">
        <v>64</v>
      </c>
      <c r="AG42" t="s">
        <v>53</v>
      </c>
      <c r="AH42" t="s">
        <v>70</v>
      </c>
      <c r="AJ42" t="s">
        <v>72</v>
      </c>
      <c r="AK42">
        <v>2</v>
      </c>
      <c r="AL42" t="s">
        <v>88</v>
      </c>
      <c r="AM42" t="s">
        <v>74</v>
      </c>
      <c r="AN42" t="s">
        <v>380</v>
      </c>
      <c r="AO42" t="s">
        <v>76</v>
      </c>
      <c r="AP42" t="s">
        <v>53</v>
      </c>
      <c r="AR42">
        <v>1</v>
      </c>
      <c r="AS42">
        <v>0</v>
      </c>
      <c r="AT42">
        <v>1</v>
      </c>
      <c r="AU42">
        <v>30115</v>
      </c>
      <c r="AV42" t="s">
        <v>381</v>
      </c>
      <c r="AW42" t="str">
        <f>VLOOKUP(AU42,'[1]1. Area'!$A$2:$B$302,2,0)</f>
        <v>Zone 2</v>
      </c>
    </row>
    <row r="43" spans="1:49" hidden="1" x14ac:dyDescent="0.3">
      <c r="A43" t="s">
        <v>48</v>
      </c>
      <c r="B43" t="s">
        <v>49</v>
      </c>
      <c r="C43" t="s">
        <v>198</v>
      </c>
      <c r="D43" t="s">
        <v>199</v>
      </c>
      <c r="E43" t="s">
        <v>52</v>
      </c>
      <c r="F43" t="s">
        <v>53</v>
      </c>
      <c r="G43" t="s">
        <v>382</v>
      </c>
      <c r="H43" t="s">
        <v>92</v>
      </c>
      <c r="I43" t="s">
        <v>383</v>
      </c>
      <c r="J43">
        <v>0</v>
      </c>
      <c r="K43" t="s">
        <v>57</v>
      </c>
      <c r="L43" t="s">
        <v>58</v>
      </c>
      <c r="M43" t="s">
        <v>59</v>
      </c>
      <c r="N43" t="s">
        <v>60</v>
      </c>
      <c r="O43" t="s">
        <v>84</v>
      </c>
      <c r="P43" t="s">
        <v>384</v>
      </c>
      <c r="Q43">
        <v>20260720</v>
      </c>
      <c r="R43" s="1">
        <v>46223.525000000001</v>
      </c>
      <c r="S43">
        <v>20260724</v>
      </c>
      <c r="T43" s="1">
        <v>46227.65902777778</v>
      </c>
      <c r="U43" s="1">
        <v>46227</v>
      </c>
      <c r="V43">
        <v>20260724</v>
      </c>
      <c r="W43" s="1">
        <v>46227</v>
      </c>
      <c r="X43" t="s">
        <v>63</v>
      </c>
      <c r="Y43" t="s">
        <v>64</v>
      </c>
      <c r="Z43" t="s">
        <v>65</v>
      </c>
      <c r="AA43" t="s">
        <v>66</v>
      </c>
      <c r="AB43" t="s">
        <v>57</v>
      </c>
      <c r="AC43" t="s">
        <v>67</v>
      </c>
      <c r="AD43" t="s">
        <v>68</v>
      </c>
      <c r="AE43" t="s">
        <v>69</v>
      </c>
      <c r="AF43" t="s">
        <v>64</v>
      </c>
      <c r="AG43" t="s">
        <v>53</v>
      </c>
      <c r="AH43" t="s">
        <v>70</v>
      </c>
      <c r="AJ43" t="s">
        <v>72</v>
      </c>
      <c r="AK43">
        <v>2</v>
      </c>
      <c r="AL43" t="s">
        <v>88</v>
      </c>
      <c r="AM43" t="s">
        <v>74</v>
      </c>
      <c r="AN43" t="s">
        <v>385</v>
      </c>
      <c r="AO43" t="s">
        <v>76</v>
      </c>
      <c r="AP43" t="s">
        <v>53</v>
      </c>
      <c r="AR43">
        <v>1</v>
      </c>
      <c r="AS43">
        <v>0</v>
      </c>
      <c r="AT43">
        <v>1</v>
      </c>
      <c r="AU43">
        <v>30094</v>
      </c>
      <c r="AV43" t="s">
        <v>386</v>
      </c>
      <c r="AW43" t="str">
        <f>VLOOKUP(AU43,'[1]1. Area'!$A$2:$B$302,2,0)</f>
        <v>Zone 4</v>
      </c>
    </row>
    <row r="44" spans="1:49" hidden="1" x14ac:dyDescent="0.3">
      <c r="A44" t="s">
        <v>48</v>
      </c>
      <c r="B44" t="s">
        <v>49</v>
      </c>
      <c r="C44">
        <v>40324200</v>
      </c>
      <c r="D44" t="s">
        <v>116</v>
      </c>
      <c r="E44" t="s">
        <v>117</v>
      </c>
      <c r="F44" t="s">
        <v>53</v>
      </c>
      <c r="G44" t="s">
        <v>387</v>
      </c>
      <c r="H44" t="s">
        <v>359</v>
      </c>
      <c r="I44" t="s">
        <v>388</v>
      </c>
      <c r="J44">
        <v>0</v>
      </c>
      <c r="K44" t="s">
        <v>121</v>
      </c>
      <c r="L44" t="s">
        <v>122</v>
      </c>
      <c r="M44" t="s">
        <v>271</v>
      </c>
      <c r="N44" t="s">
        <v>272</v>
      </c>
      <c r="O44" t="s">
        <v>389</v>
      </c>
      <c r="P44" t="s">
        <v>390</v>
      </c>
      <c r="Q44">
        <v>20260712</v>
      </c>
      <c r="R44" s="1">
        <v>46215.797222222223</v>
      </c>
      <c r="S44" t="s">
        <v>53</v>
      </c>
      <c r="U44" s="1">
        <v>46223</v>
      </c>
      <c r="V44">
        <v>20260727</v>
      </c>
      <c r="W44" s="1">
        <v>46230</v>
      </c>
      <c r="X44" t="s">
        <v>127</v>
      </c>
      <c r="Y44" t="s">
        <v>128</v>
      </c>
      <c r="Z44" t="s">
        <v>129</v>
      </c>
      <c r="AA44" t="s">
        <v>274</v>
      </c>
      <c r="AB44" t="s">
        <v>235</v>
      </c>
      <c r="AC44" t="s">
        <v>67</v>
      </c>
      <c r="AD44" t="s">
        <v>68</v>
      </c>
      <c r="AE44" t="s">
        <v>69</v>
      </c>
      <c r="AF44" t="s">
        <v>132</v>
      </c>
      <c r="AG44" t="s">
        <v>53</v>
      </c>
      <c r="AH44" t="s">
        <v>70</v>
      </c>
      <c r="AJ44" t="s">
        <v>72</v>
      </c>
      <c r="AK44">
        <v>33</v>
      </c>
      <c r="AL44" t="s">
        <v>73</v>
      </c>
      <c r="AM44" t="s">
        <v>74</v>
      </c>
      <c r="AN44" t="s">
        <v>315</v>
      </c>
      <c r="AO44" t="s">
        <v>76</v>
      </c>
      <c r="AP44" t="s">
        <v>53</v>
      </c>
      <c r="AR44">
        <v>1</v>
      </c>
      <c r="AS44">
        <v>0</v>
      </c>
      <c r="AT44">
        <v>1</v>
      </c>
      <c r="AU44">
        <v>30315</v>
      </c>
      <c r="AV44" t="s">
        <v>391</v>
      </c>
      <c r="AW44" t="str">
        <f>VLOOKUP(AU44,'[1]1. Area'!$A$2:$B$302,2,0)</f>
        <v>Zone 4</v>
      </c>
    </row>
    <row r="45" spans="1:49" x14ac:dyDescent="0.3">
      <c r="A45" t="s">
        <v>48</v>
      </c>
      <c r="B45" t="s">
        <v>49</v>
      </c>
      <c r="C45">
        <v>40324200</v>
      </c>
      <c r="D45" t="s">
        <v>116</v>
      </c>
      <c r="E45" t="s">
        <v>117</v>
      </c>
      <c r="F45" t="s">
        <v>53</v>
      </c>
      <c r="G45" t="s">
        <v>392</v>
      </c>
      <c r="H45" t="s">
        <v>393</v>
      </c>
      <c r="I45" t="s">
        <v>394</v>
      </c>
      <c r="J45">
        <v>0</v>
      </c>
      <c r="K45" t="s">
        <v>57</v>
      </c>
      <c r="L45" t="s">
        <v>58</v>
      </c>
      <c r="M45" t="s">
        <v>59</v>
      </c>
      <c r="N45" t="s">
        <v>60</v>
      </c>
      <c r="O45" t="s">
        <v>163</v>
      </c>
      <c r="P45" t="s">
        <v>395</v>
      </c>
      <c r="Q45">
        <v>20260716</v>
      </c>
      <c r="R45" s="1">
        <v>46219.432638888888</v>
      </c>
      <c r="S45" t="s">
        <v>53</v>
      </c>
      <c r="U45" s="1">
        <v>46227</v>
      </c>
      <c r="V45">
        <v>20260724</v>
      </c>
      <c r="W45" s="1">
        <v>46227</v>
      </c>
      <c r="X45" t="s">
        <v>127</v>
      </c>
      <c r="Y45" t="s">
        <v>128</v>
      </c>
      <c r="Z45" t="s">
        <v>129</v>
      </c>
      <c r="AA45" t="s">
        <v>66</v>
      </c>
      <c r="AB45" t="s">
        <v>57</v>
      </c>
      <c r="AC45" t="s">
        <v>67</v>
      </c>
      <c r="AD45" t="s">
        <v>68</v>
      </c>
      <c r="AE45" t="s">
        <v>69</v>
      </c>
      <c r="AF45" t="s">
        <v>132</v>
      </c>
      <c r="AG45" t="s">
        <v>53</v>
      </c>
      <c r="AH45" t="s">
        <v>70</v>
      </c>
      <c r="AJ45" t="s">
        <v>72</v>
      </c>
      <c r="AK45">
        <v>33</v>
      </c>
      <c r="AL45" t="s">
        <v>105</v>
      </c>
      <c r="AM45" t="s">
        <v>74</v>
      </c>
      <c r="AN45" t="s">
        <v>396</v>
      </c>
      <c r="AO45" t="s">
        <v>76</v>
      </c>
      <c r="AP45" t="s">
        <v>53</v>
      </c>
      <c r="AR45">
        <v>1</v>
      </c>
      <c r="AS45">
        <v>0</v>
      </c>
      <c r="AT45">
        <v>1</v>
      </c>
      <c r="AU45">
        <v>30024</v>
      </c>
      <c r="AV45" t="s">
        <v>397</v>
      </c>
      <c r="AW45" t="str">
        <f>VLOOKUP(AU45,'[1]1. Area'!$A$2:$B$302,2,0)</f>
        <v>Zone 2</v>
      </c>
    </row>
    <row r="46" spans="1:49" x14ac:dyDescent="0.3">
      <c r="A46" t="s">
        <v>48</v>
      </c>
      <c r="B46" t="s">
        <v>49</v>
      </c>
      <c r="C46">
        <v>40324200</v>
      </c>
      <c r="D46" t="s">
        <v>116</v>
      </c>
      <c r="E46" t="s">
        <v>117</v>
      </c>
      <c r="F46" t="s">
        <v>53</v>
      </c>
      <c r="G46" t="s">
        <v>339</v>
      </c>
      <c r="H46" t="s">
        <v>82</v>
      </c>
      <c r="I46" t="s">
        <v>398</v>
      </c>
      <c r="J46">
        <v>0</v>
      </c>
      <c r="K46" t="s">
        <v>57</v>
      </c>
      <c r="L46" t="s">
        <v>58</v>
      </c>
      <c r="M46" t="s">
        <v>59</v>
      </c>
      <c r="N46" t="s">
        <v>60</v>
      </c>
      <c r="O46" t="s">
        <v>399</v>
      </c>
      <c r="P46" t="s">
        <v>400</v>
      </c>
      <c r="Q46">
        <v>20260709</v>
      </c>
      <c r="R46" s="1">
        <v>46212.489583333336</v>
      </c>
      <c r="S46" t="s">
        <v>53</v>
      </c>
      <c r="U46" s="1">
        <v>46213</v>
      </c>
      <c r="V46">
        <v>20260724</v>
      </c>
      <c r="W46" s="1">
        <v>46227</v>
      </c>
      <c r="X46" t="s">
        <v>127</v>
      </c>
      <c r="Y46" t="s">
        <v>128</v>
      </c>
      <c r="Z46" t="s">
        <v>129</v>
      </c>
      <c r="AA46" t="s">
        <v>66</v>
      </c>
      <c r="AB46" t="s">
        <v>57</v>
      </c>
      <c r="AC46" t="s">
        <v>67</v>
      </c>
      <c r="AD46" t="s">
        <v>68</v>
      </c>
      <c r="AE46" t="s">
        <v>69</v>
      </c>
      <c r="AF46" t="s">
        <v>132</v>
      </c>
      <c r="AG46" t="s">
        <v>53</v>
      </c>
      <c r="AH46" t="s">
        <v>70</v>
      </c>
      <c r="AJ46" t="s">
        <v>72</v>
      </c>
      <c r="AK46">
        <v>33</v>
      </c>
      <c r="AL46" t="s">
        <v>88</v>
      </c>
      <c r="AM46" t="s">
        <v>74</v>
      </c>
      <c r="AN46" t="s">
        <v>315</v>
      </c>
      <c r="AO46" t="s">
        <v>76</v>
      </c>
      <c r="AP46" t="s">
        <v>53</v>
      </c>
      <c r="AR46">
        <v>1</v>
      </c>
      <c r="AS46">
        <v>0</v>
      </c>
      <c r="AT46">
        <v>1</v>
      </c>
      <c r="AU46">
        <v>30338</v>
      </c>
      <c r="AV46" t="s">
        <v>401</v>
      </c>
      <c r="AW46" t="str">
        <f>VLOOKUP(AU46,'[1]1. Area'!$A$2:$B$302,2,0)</f>
        <v>Zone 2</v>
      </c>
    </row>
    <row r="47" spans="1:49" hidden="1" x14ac:dyDescent="0.3">
      <c r="A47" t="s">
        <v>48</v>
      </c>
      <c r="B47" t="s">
        <v>49</v>
      </c>
      <c r="C47" t="s">
        <v>225</v>
      </c>
      <c r="D47" t="s">
        <v>226</v>
      </c>
      <c r="E47" t="s">
        <v>52</v>
      </c>
      <c r="F47" t="s">
        <v>53</v>
      </c>
      <c r="G47" t="s">
        <v>402</v>
      </c>
      <c r="H47" t="s">
        <v>403</v>
      </c>
      <c r="I47" t="s">
        <v>404</v>
      </c>
      <c r="J47">
        <v>1</v>
      </c>
      <c r="K47" t="s">
        <v>57</v>
      </c>
      <c r="L47" t="s">
        <v>58</v>
      </c>
      <c r="M47" t="s">
        <v>59</v>
      </c>
      <c r="N47" t="s">
        <v>60</v>
      </c>
      <c r="P47" t="s">
        <v>405</v>
      </c>
      <c r="Q47">
        <v>20260720</v>
      </c>
      <c r="R47" s="1">
        <v>46223.580555555556</v>
      </c>
      <c r="S47">
        <v>20260724</v>
      </c>
      <c r="T47" s="1">
        <v>46227.75</v>
      </c>
      <c r="U47" s="1">
        <v>46227</v>
      </c>
      <c r="V47">
        <v>20260724</v>
      </c>
      <c r="W47" s="1">
        <v>46227</v>
      </c>
      <c r="X47" t="s">
        <v>63</v>
      </c>
      <c r="Y47" t="s">
        <v>64</v>
      </c>
      <c r="Z47" t="s">
        <v>65</v>
      </c>
      <c r="AA47" t="s">
        <v>66</v>
      </c>
      <c r="AB47" t="s">
        <v>57</v>
      </c>
      <c r="AC47" t="s">
        <v>67</v>
      </c>
      <c r="AD47" t="s">
        <v>68</v>
      </c>
      <c r="AE47" t="s">
        <v>69</v>
      </c>
      <c r="AF47" t="s">
        <v>64</v>
      </c>
      <c r="AG47" t="s">
        <v>53</v>
      </c>
      <c r="AH47" t="s">
        <v>70</v>
      </c>
      <c r="AI47" t="s">
        <v>406</v>
      </c>
      <c r="AJ47" t="s">
        <v>72</v>
      </c>
      <c r="AK47">
        <v>2</v>
      </c>
      <c r="AL47" t="s">
        <v>88</v>
      </c>
      <c r="AM47" t="s">
        <v>74</v>
      </c>
      <c r="AN47" t="s">
        <v>407</v>
      </c>
      <c r="AO47" t="s">
        <v>76</v>
      </c>
      <c r="AP47" t="s">
        <v>53</v>
      </c>
      <c r="AR47">
        <v>1</v>
      </c>
      <c r="AS47">
        <v>1</v>
      </c>
      <c r="AT47">
        <v>1</v>
      </c>
      <c r="AU47">
        <v>30518</v>
      </c>
      <c r="AV47" t="s">
        <v>408</v>
      </c>
      <c r="AW47" t="str">
        <f>VLOOKUP(AU47,'[1]1. Area'!$A$2:$B$302,2,0)</f>
        <v>Zone 2</v>
      </c>
    </row>
  </sheetData>
  <autoFilter ref="A1:AW47" xr:uid="{927D7822-059B-49B2-8C9E-EAAED3FFE8F4}">
    <filterColumn colId="4">
      <filters>
        <filter val="DMS2"/>
      </filters>
    </filterColumn>
    <filterColumn colId="21">
      <filters>
        <filter val="20260724"/>
      </filters>
    </filterColumn>
  </autoFilter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61233-3FD4-48AB-8A25-7C99AE5CC9E3}">
  <dimension ref="A2:M15"/>
  <sheetViews>
    <sheetView workbookViewId="0">
      <selection activeCell="K11" sqref="K11"/>
    </sheetView>
  </sheetViews>
  <sheetFormatPr defaultRowHeight="16.5" x14ac:dyDescent="0.3"/>
  <cols>
    <col min="4" max="4" width="16.375" bestFit="1" customWidth="1"/>
    <col min="7" max="7" width="15.625" bestFit="1" customWidth="1"/>
  </cols>
  <sheetData>
    <row r="2" spans="1:13" x14ac:dyDescent="0.3">
      <c r="A2" t="s">
        <v>46</v>
      </c>
      <c r="B2" t="s">
        <v>422</v>
      </c>
      <c r="D2" s="2" t="s">
        <v>418</v>
      </c>
      <c r="E2" s="2" t="s">
        <v>422</v>
      </c>
      <c r="G2" s="4" t="s">
        <v>420</v>
      </c>
      <c r="H2" s="4" t="s">
        <v>423</v>
      </c>
      <c r="I2" t="s">
        <v>422</v>
      </c>
      <c r="K2" s="4" t="s">
        <v>420</v>
      </c>
      <c r="L2" s="4" t="s">
        <v>425</v>
      </c>
      <c r="M2" s="11" t="s">
        <v>426</v>
      </c>
    </row>
    <row r="3" spans="1:13" x14ac:dyDescent="0.3">
      <c r="A3">
        <v>30236</v>
      </c>
      <c r="B3" t="s">
        <v>416</v>
      </c>
      <c r="D3" s="2" t="s">
        <v>151</v>
      </c>
      <c r="E3" s="2" t="s">
        <v>409</v>
      </c>
      <c r="G3" s="6" t="s">
        <v>80</v>
      </c>
      <c r="H3" s="3">
        <v>3</v>
      </c>
      <c r="I3" s="2" t="s">
        <v>409</v>
      </c>
      <c r="K3" s="6" t="s">
        <v>409</v>
      </c>
      <c r="L3" s="3">
        <v>4</v>
      </c>
      <c r="M3">
        <v>1</v>
      </c>
    </row>
    <row r="4" spans="1:13" x14ac:dyDescent="0.3">
      <c r="A4">
        <v>30519</v>
      </c>
      <c r="B4" t="s">
        <v>417</v>
      </c>
      <c r="D4" s="2" t="s">
        <v>160</v>
      </c>
      <c r="E4" s="2" t="s">
        <v>409</v>
      </c>
      <c r="G4" s="6" t="s">
        <v>151</v>
      </c>
      <c r="H4" s="3">
        <v>3</v>
      </c>
      <c r="I4" s="2" t="s">
        <v>409</v>
      </c>
      <c r="K4" s="6" t="s">
        <v>411</v>
      </c>
      <c r="L4" s="3">
        <v>9</v>
      </c>
      <c r="M4">
        <v>2</v>
      </c>
    </row>
    <row r="5" spans="1:13" x14ac:dyDescent="0.3">
      <c r="A5">
        <v>30319</v>
      </c>
      <c r="B5" t="s">
        <v>417</v>
      </c>
      <c r="D5" s="2" t="s">
        <v>80</v>
      </c>
      <c r="E5" s="2" t="s">
        <v>409</v>
      </c>
      <c r="G5" s="6" t="s">
        <v>160</v>
      </c>
      <c r="H5" s="3">
        <v>1</v>
      </c>
      <c r="I5" s="2" t="s">
        <v>409</v>
      </c>
      <c r="K5" s="6" t="s">
        <v>414</v>
      </c>
      <c r="L5" s="3">
        <v>1</v>
      </c>
    </row>
    <row r="6" spans="1:13" x14ac:dyDescent="0.3">
      <c r="A6">
        <v>30213</v>
      </c>
      <c r="B6" t="s">
        <v>409</v>
      </c>
      <c r="D6" s="2" t="s">
        <v>410</v>
      </c>
      <c r="E6" s="2" t="s">
        <v>411</v>
      </c>
      <c r="G6" s="6" t="s">
        <v>51</v>
      </c>
      <c r="H6" s="3">
        <v>2</v>
      </c>
      <c r="I6" s="2" t="s">
        <v>411</v>
      </c>
      <c r="K6" s="6" t="s">
        <v>416</v>
      </c>
      <c r="L6" s="3">
        <v>5</v>
      </c>
      <c r="M6">
        <v>3</v>
      </c>
    </row>
    <row r="7" spans="1:13" x14ac:dyDescent="0.3">
      <c r="A7">
        <v>30214</v>
      </c>
      <c r="B7" t="s">
        <v>416</v>
      </c>
      <c r="D7" s="2" t="s">
        <v>412</v>
      </c>
      <c r="E7" s="2" t="s">
        <v>411</v>
      </c>
      <c r="G7" s="6" t="s">
        <v>109</v>
      </c>
      <c r="H7" s="3">
        <v>3</v>
      </c>
      <c r="I7" s="2" t="s">
        <v>416</v>
      </c>
      <c r="K7" s="6" t="s">
        <v>417</v>
      </c>
      <c r="L7" s="3">
        <v>11</v>
      </c>
      <c r="M7">
        <v>2</v>
      </c>
    </row>
    <row r="8" spans="1:13" x14ac:dyDescent="0.3">
      <c r="A8">
        <v>30269</v>
      </c>
      <c r="B8" t="s">
        <v>416</v>
      </c>
      <c r="D8" s="2" t="s">
        <v>51</v>
      </c>
      <c r="E8" s="2" t="s">
        <v>411</v>
      </c>
      <c r="G8" s="6" t="s">
        <v>191</v>
      </c>
      <c r="H8" s="3">
        <v>3</v>
      </c>
      <c r="I8" s="2" t="s">
        <v>416</v>
      </c>
      <c r="K8" s="7" t="s">
        <v>421</v>
      </c>
      <c r="L8" s="8">
        <v>30</v>
      </c>
    </row>
    <row r="9" spans="1:13" x14ac:dyDescent="0.3">
      <c r="A9">
        <v>30024</v>
      </c>
      <c r="B9" t="s">
        <v>411</v>
      </c>
      <c r="D9" s="2" t="s">
        <v>413</v>
      </c>
      <c r="E9" s="2" t="s">
        <v>414</v>
      </c>
      <c r="G9" s="6" t="s">
        <v>199</v>
      </c>
      <c r="H9" s="3">
        <v>5</v>
      </c>
      <c r="I9" s="2" t="s">
        <v>417</v>
      </c>
    </row>
    <row r="10" spans="1:13" x14ac:dyDescent="0.3">
      <c r="A10">
        <v>30338</v>
      </c>
      <c r="B10" t="s">
        <v>411</v>
      </c>
      <c r="D10" s="2" t="s">
        <v>415</v>
      </c>
      <c r="E10" s="2" t="s">
        <v>416</v>
      </c>
      <c r="G10" s="6" t="s">
        <v>226</v>
      </c>
      <c r="H10" s="3">
        <v>4</v>
      </c>
      <c r="I10" s="2" t="s">
        <v>417</v>
      </c>
    </row>
    <row r="11" spans="1:13" x14ac:dyDescent="0.3">
      <c r="D11" s="2" t="s">
        <v>109</v>
      </c>
      <c r="E11" s="2" t="s">
        <v>416</v>
      </c>
      <c r="G11" s="6" t="s">
        <v>99</v>
      </c>
      <c r="H11" s="3">
        <v>6</v>
      </c>
      <c r="I11" s="2" t="s">
        <v>417</v>
      </c>
    </row>
    <row r="12" spans="1:13" x14ac:dyDescent="0.3">
      <c r="D12" s="2" t="s">
        <v>191</v>
      </c>
      <c r="E12" s="2" t="s">
        <v>416</v>
      </c>
      <c r="G12" s="9" t="s">
        <v>260</v>
      </c>
      <c r="H12" s="10">
        <v>4</v>
      </c>
    </row>
    <row r="13" spans="1:13" x14ac:dyDescent="0.3">
      <c r="D13" s="2" t="s">
        <v>199</v>
      </c>
      <c r="E13" s="2" t="s">
        <v>417</v>
      </c>
      <c r="G13" s="9" t="s">
        <v>116</v>
      </c>
      <c r="H13" s="10">
        <v>4</v>
      </c>
    </row>
    <row r="14" spans="1:13" x14ac:dyDescent="0.3">
      <c r="D14" s="2" t="s">
        <v>226</v>
      </c>
      <c r="E14" s="2" t="s">
        <v>417</v>
      </c>
      <c r="G14" s="7" t="s">
        <v>421</v>
      </c>
      <c r="H14" s="8">
        <v>38</v>
      </c>
    </row>
    <row r="15" spans="1:13" x14ac:dyDescent="0.3">
      <c r="D15" s="2" t="s">
        <v>99</v>
      </c>
      <c r="E15" s="2" t="s">
        <v>417</v>
      </c>
    </row>
  </sheetData>
  <sortState xmlns:xlrd2="http://schemas.microsoft.com/office/spreadsheetml/2017/richdata2" ref="G3:I13">
    <sortCondition ref="I3:I13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Sheet2</vt:lpstr>
      <vt:lpstr>_SELECT_T21_CORP_STD1_NAME_AS_S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박용배/책임/CC&amp;S Data Analytics팀</cp:lastModifiedBy>
  <dcterms:created xsi:type="dcterms:W3CDTF">2026-07-27T06:53:26Z</dcterms:created>
  <dcterms:modified xsi:type="dcterms:W3CDTF">2026-07-27T06:53:26Z</dcterms:modified>
</cp:coreProperties>
</file>