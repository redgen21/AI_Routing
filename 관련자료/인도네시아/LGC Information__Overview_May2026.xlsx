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01 LGEID\네트워크\직영센터\효율화\"/>
    </mc:Choice>
  </mc:AlternateContent>
  <xr:revisionPtr revIDLastSave="0" documentId="13_ncr:1_{B246292D-10DA-4526-A2BD-6DA472C62661}" xr6:coauthVersionLast="47" xr6:coauthVersionMax="47" xr10:uidLastSave="{00000000-0000-0000-0000-000000000000}"/>
  <bookViews>
    <workbookView xWindow="-120" yWindow="-120" windowWidth="51840" windowHeight="21120" xr2:uid="{3497CABC-F742-434E-BCC1-D99F19D28F26}"/>
  </bookViews>
  <sheets>
    <sheet name="DSC Overview" sheetId="1" r:id="rId1"/>
  </sheets>
  <definedNames>
    <definedName name="_xlnm._FilterDatabase" localSheetId="0" hidden="1">'DSC Overview'!$A$4:$AL$30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9" i="1" l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0" i="1"/>
  <c r="AB9" i="1"/>
  <c r="AB8" i="1"/>
  <c r="AB7" i="1"/>
  <c r="AB6" i="1"/>
  <c r="AB5" i="1"/>
  <c r="AJ24" i="1"/>
  <c r="AJ25" i="1"/>
  <c r="AF28" i="1"/>
  <c r="AF29" i="1"/>
  <c r="AJ21" i="1"/>
  <c r="AJ22" i="1"/>
  <c r="AJ23" i="1"/>
  <c r="AJ26" i="1"/>
  <c r="AJ27" i="1"/>
  <c r="AJ7" i="1"/>
  <c r="AJ6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8" i="1"/>
  <c r="AJ29" i="1"/>
  <c r="AF20" i="1"/>
  <c r="AJ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1" i="1"/>
  <c r="AF22" i="1"/>
  <c r="AF23" i="1"/>
  <c r="AF24" i="1"/>
  <c r="AF25" i="1"/>
  <c r="AF26" i="1"/>
  <c r="AF27" i="1"/>
  <c r="AF5" i="1"/>
  <c r="P30" i="1"/>
  <c r="U30" i="1"/>
  <c r="W30" i="1"/>
  <c r="T30" i="1"/>
  <c r="S30" i="1"/>
  <c r="Q30" i="1"/>
  <c r="O30" i="1"/>
  <c r="N30" i="1"/>
  <c r="V30" i="1" l="1"/>
  <c r="R30" i="1"/>
  <c r="AA30" i="1"/>
  <c r="AB30" i="1" s="1"/>
  <c r="J30" i="1" l="1"/>
  <c r="K30" i="1"/>
  <c r="L30" i="1"/>
  <c r="I30" i="1"/>
  <c r="AL30" i="1" l="1"/>
  <c r="AK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4" authorId="0" shapeId="0" xr:uid="{815C94BE-EBFD-478B-A90F-92B264414E2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DR inspection move to Quality (HO)</t>
        </r>
      </text>
    </comment>
  </commentList>
</comments>
</file>

<file path=xl/sharedStrings.xml><?xml version="1.0" encoding="utf-8"?>
<sst xmlns="http://schemas.openxmlformats.org/spreadsheetml/2006/main" count="265" uniqueCount="216">
  <si>
    <t>LGC Name</t>
    <phoneticPr fontId="3" type="noConversion"/>
  </si>
  <si>
    <t>City</t>
    <phoneticPr fontId="3" type="noConversion"/>
  </si>
  <si>
    <t>LGC Group</t>
    <phoneticPr fontId="3" type="noConversion"/>
  </si>
  <si>
    <t>LGC Motorcycle Qty</t>
  </si>
  <si>
    <t>LGEID BDG CC&amp;S</t>
  </si>
  <si>
    <t>LGEID BJM CC&amp;S</t>
  </si>
  <si>
    <t>LGEID BTM CC&amp;S</t>
  </si>
  <si>
    <t>LGEID BKS CC&amp;S</t>
  </si>
  <si>
    <t>LGEID CR1 CC&amp;S</t>
  </si>
  <si>
    <t>LGEID DPS CC&amp;S</t>
  </si>
  <si>
    <t>LGEID PIS CC&amp;S</t>
  </si>
  <si>
    <t>LGEID JKT CC&amp;S</t>
  </si>
  <si>
    <t>LGEID JB1 CC&amp;S</t>
  </si>
  <si>
    <t>LGEID JBR CC&amp;S</t>
  </si>
  <si>
    <t>LGEID KDR CC&amp;S</t>
  </si>
  <si>
    <t>LGEID LPG CC&amp;S</t>
  </si>
  <si>
    <t>LGEID LBK CC&amp;S</t>
  </si>
  <si>
    <t>LGEID MKS CC&amp;S</t>
  </si>
  <si>
    <t>LGEID MDN CC&amp;S</t>
  </si>
  <si>
    <t>LGEID MND CC&amp;S</t>
  </si>
  <si>
    <t>LGEID PDG CC&amp;S</t>
  </si>
  <si>
    <t>LGEID PLB CC&amp;S</t>
  </si>
  <si>
    <t>LGEID PKB CC&amp;S</t>
  </si>
  <si>
    <t>LGEID PTK CC&amp;S</t>
  </si>
  <si>
    <t>LGEID SMD CC&amp;S</t>
  </si>
  <si>
    <t>LGEID SMR CC&amp;S</t>
  </si>
  <si>
    <t>LGEID SBY CC&amp;S</t>
  </si>
  <si>
    <t>LGEID BSD CC&amp;S</t>
  </si>
  <si>
    <t>LGEID JGJ CC&amp;S</t>
  </si>
  <si>
    <t>Bandung</t>
  </si>
  <si>
    <t>Banjarmasin</t>
  </si>
  <si>
    <t>Batam</t>
  </si>
  <si>
    <t>Bekasi</t>
  </si>
  <si>
    <t>Cirebon</t>
  </si>
  <si>
    <t>Denpasar</t>
  </si>
  <si>
    <t>Jakarta</t>
  </si>
  <si>
    <t>Jambi</t>
  </si>
  <si>
    <t>Jember</t>
  </si>
  <si>
    <t>Kediri</t>
  </si>
  <si>
    <t>Lampung</t>
  </si>
  <si>
    <t>Lombok</t>
  </si>
  <si>
    <t>Makassar</t>
  </si>
  <si>
    <t>Medan</t>
  </si>
  <si>
    <t>Manado</t>
  </si>
  <si>
    <t>Padang</t>
  </si>
  <si>
    <t>Palembang</t>
  </si>
  <si>
    <t>Pekanbaru</t>
  </si>
  <si>
    <t>Pontianak</t>
  </si>
  <si>
    <t>Samarinda</t>
  </si>
  <si>
    <t>Semarang</t>
  </si>
  <si>
    <t>Surabaya</t>
  </si>
  <si>
    <t>Tanggerang</t>
  </si>
  <si>
    <t>Yogyakarta</t>
  </si>
  <si>
    <t>A</t>
  </si>
  <si>
    <t>B</t>
  </si>
  <si>
    <t>C</t>
  </si>
  <si>
    <t>Expired Date</t>
  </si>
  <si>
    <t>Start Date</t>
  </si>
  <si>
    <t>Technician</t>
  </si>
  <si>
    <t>Tech Head</t>
  </si>
  <si>
    <t>Ship To Code</t>
  </si>
  <si>
    <t>11011981</t>
  </si>
  <si>
    <t>11012041</t>
  </si>
  <si>
    <t>11012007</t>
  </si>
  <si>
    <t>11012061</t>
  </si>
  <si>
    <t>11012033</t>
  </si>
  <si>
    <t>11011986</t>
  </si>
  <si>
    <t>11011976</t>
  </si>
  <si>
    <t>11011980</t>
  </si>
  <si>
    <t>11011987</t>
  </si>
  <si>
    <t>11011996</t>
  </si>
  <si>
    <t>11012031</t>
  </si>
  <si>
    <t>11012046</t>
  </si>
  <si>
    <t>11012042</t>
  </si>
  <si>
    <t>11012055</t>
  </si>
  <si>
    <t>11012069</t>
  </si>
  <si>
    <t>11012083</t>
  </si>
  <si>
    <t>11011995</t>
  </si>
  <si>
    <t>11012003</t>
  </si>
  <si>
    <t>11012004</t>
  </si>
  <si>
    <t>11012020</t>
  </si>
  <si>
    <t>11012028</t>
  </si>
  <si>
    <t>11012025</t>
  </si>
  <si>
    <t>11012040</t>
  </si>
  <si>
    <t>11012070</t>
  </si>
  <si>
    <t>11012005</t>
  </si>
  <si>
    <t>Address</t>
  </si>
  <si>
    <t>Buidling Space</t>
  </si>
  <si>
    <t>2026~Apr</t>
  </si>
  <si>
    <t>Claim Closed</t>
  </si>
  <si>
    <t>Coverage Area</t>
  </si>
  <si>
    <t>Branch</t>
  </si>
  <si>
    <t>Cost By (CC&amp;S Only/ CC&amp;S+Mark)</t>
  </si>
  <si>
    <t>BDG</t>
  </si>
  <si>
    <t>Komp. Kopo Plaza, Jl. Peta Bloka A No.24, Suka Asih, Kec. Bojongloa Kaler, Kota Bandung, Jawa Barat 40233</t>
  </si>
  <si>
    <t>CC&amp;S+Marketing</t>
  </si>
  <si>
    <t>BJM</t>
  </si>
  <si>
    <t>Jl. Gatot Subroto No.17L RT.029 Kel. Kuripan, 
Kec. Banjarmasin Timur Kode Pos 70236 Banjarmasin</t>
  </si>
  <si>
    <t>BTM</t>
  </si>
  <si>
    <t>Jl. Ahmad  Yani, Komplek Pertokoan Anggrek Sari Alexandria, Blok B8 No.56 Kel.Taman Baloi Kec.Batam Kota Kepulauan Riau 29444</t>
  </si>
  <si>
    <t>CC&amp;S Only</t>
  </si>
  <si>
    <t>BKS</t>
  </si>
  <si>
    <t>JKT</t>
  </si>
  <si>
    <t>Jl. A.Yani Komp. Commercial Center Blok B No.26, Kayu Ringin, Bekasi , Jawa Barat 17144</t>
  </si>
  <si>
    <t>Jl. Brigjen Dharsono By Pass, Ruko Permata Hijau No.9 Kelurahan Sunyaragi Cirebon Jawa Barat</t>
  </si>
  <si>
    <t>DPS</t>
  </si>
  <si>
    <t>Jl. Cargo Permai No.60, Ubung, Kec. Denpasar Utara, Kota Denpasar, Bali 80111</t>
  </si>
  <si>
    <t>PIS</t>
  </si>
  <si>
    <t>Jl. RS. Fatmawati No.1A, Pondok Labu, Kec. Cilandak, Kota Jakarta Selatan -  12450 ( (Depan halte bis Kamang)</t>
  </si>
  <si>
    <t>JB1</t>
  </si>
  <si>
    <t>Jl. Jendral Sudirman RT.05. No.64 Kel.Talang Jauh 
Kec Jelutung Jambi    (Depan Mall Trona)</t>
  </si>
  <si>
    <t>JBR</t>
  </si>
  <si>
    <t>Jl. Diponegoro, Ruko Samporna Kavling  4,  Jember,  Jawa Timur</t>
  </si>
  <si>
    <t>KDR</t>
  </si>
  <si>
    <t xml:space="preserve">Jl. Suparjan Mangun Wijaya No.16 E RT.14/ RW.04 Ds.Sukorame - Kec. Mojoroto - Kota Kediri - Jawa Timur 64114 </t>
  </si>
  <si>
    <t>LPG</t>
  </si>
  <si>
    <t>Jl. Diponegoro No.92, Sumur Batu, Kec. Tlk. Betung Utara, Kota Bandar Lampung, Lampung 35119</t>
  </si>
  <si>
    <t>LBK</t>
  </si>
  <si>
    <t>Jl.  TGH Faesal Ruko Blok K Nomor 6, Kec. Sandubaya, Kota Mataram</t>
  </si>
  <si>
    <t>MKS</t>
  </si>
  <si>
    <t>Jl. Tun Abdul Razak (Hertasning Baru), Kompleks Ruko Citra Land Celebes Blok J19&amp;L20 Gowa - Makassar, Sulawesi Selatan</t>
  </si>
  <si>
    <t>MDN</t>
  </si>
  <si>
    <t>JL. RING ROAD NO: 7, 8 dan 9 (Gedung Merah) 
Kel Tanjung Sari – Kec Medan Selayang Medan - 20131</t>
  </si>
  <si>
    <t>MND</t>
  </si>
  <si>
    <t>Jl. Piere Tendean Komplek ITC Marina Plaza Mwalk blok RA 30 boulevard, Kota Manado, Sulawesi Utara 95111</t>
  </si>
  <si>
    <t>PDG</t>
  </si>
  <si>
    <t>Jl. Raya Kampung Kalawi – Simp Kampung Kalawi No. 8, Gedung Adi Guna - Kel. Ampang Kec, Kuranji, Kota Padang - 25154</t>
  </si>
  <si>
    <t>PLB</t>
  </si>
  <si>
    <t>JL Bambang Utoyo No 1257/A8 RT 01/03 kelurahan Duku, kec. Ilir Timur III , Palembang , Sumatera Selatan 30111</t>
  </si>
  <si>
    <t>PKB</t>
  </si>
  <si>
    <t>JL. Riau No. 2D, 2E ,Tampan, Payung Sekaki, Pekanbaru City, Riau 28291</t>
  </si>
  <si>
    <t>PTK</t>
  </si>
  <si>
    <t>Jl. Teuku Umar Komplek Pontianak Mall Blok AA 50, Kel. Benua Melayu Darat 78122, Pontianak Selatan - Kalimantan Barat</t>
  </si>
  <si>
    <t>SMD</t>
  </si>
  <si>
    <t>Jl. A. Wahab Syahranie, Gn. Kelua, Kec. Samarinda Ulu, Kota Samarinda, Kalimantan Timur 75131</t>
  </si>
  <si>
    <t>SMR</t>
  </si>
  <si>
    <t>Jl. Majapahit No.297, Kalicari, Kec. Pedurungan, Kota Semarang, Jawa Tengah 50246</t>
  </si>
  <si>
    <t>SBY</t>
  </si>
  <si>
    <t>Jl Kalianyar No 42 , Kelurahan Kapasari, Kecamatan Genteng, Surabaya</t>
  </si>
  <si>
    <t>BSD</t>
  </si>
  <si>
    <t>Ruko Orlin Arcade 2 Blok GRB/Jb no. 12 Jl. Baulevard Raya  Pakujaya  Serpong Utara,Tangerang</t>
  </si>
  <si>
    <t>JGJ</t>
  </si>
  <si>
    <t xml:space="preserve">JL MONJALI NO 78E -78F, RT 20, RW 42, DESA SINDUADI, KEC MLATI, KAB SLEMAN,   ( SELATAN SELOKAN MATARAM ) </t>
  </si>
  <si>
    <t>Annual Rental Price (IDR)</t>
  </si>
  <si>
    <t>Total</t>
  </si>
  <si>
    <t>West Kalimantan</t>
  </si>
  <si>
    <t>Riau Islands</t>
  </si>
  <si>
    <t>Banten &amp; South Jakarta</t>
  </si>
  <si>
    <t>South Sulawesi, West Sulawesi, Central Sulawesi, Southeast Sulawesi, Maluku &amp; Papua</t>
  </si>
  <si>
    <t>Bekasi, East Jakarta, Cikarang</t>
  </si>
  <si>
    <t>Cirebon. Indramayu, Kuningan, Tegal</t>
  </si>
  <si>
    <t>West Sumatera</t>
  </si>
  <si>
    <t>North Sulawesi &amp; North Maluku</t>
  </si>
  <si>
    <t>Riau</t>
  </si>
  <si>
    <t>East Kalimantan &amp; North Kalimantan</t>
  </si>
  <si>
    <t>South Kalimantan &amp; Central Kalimantan</t>
  </si>
  <si>
    <t>Bali</t>
  </si>
  <si>
    <t>North Sumatera &amp; Aceh</t>
  </si>
  <si>
    <t>West Java, Bandung, Sukabumi, Karawang, Tasikmalaya, Purwakarta</t>
  </si>
  <si>
    <t>Central Jakarta &amp; North Jakarta</t>
  </si>
  <si>
    <t>Jl. Musi No. 14, Cideng, Kec. Gambir, Kota Jakarta Pusat</t>
  </si>
  <si>
    <t xml:space="preserve">South Sumatera, </t>
  </si>
  <si>
    <t>South Jakarta, Depok, Bogor</t>
  </si>
  <si>
    <t>Central Java</t>
  </si>
  <si>
    <t>Jember, Banyuwangi, Probolinggo</t>
  </si>
  <si>
    <t>East Java, Madura Island, Kupang,</t>
  </si>
  <si>
    <t>Kediri, Madiun, Blitar, Ponorogo</t>
  </si>
  <si>
    <t>West Nusa Tenggara</t>
  </si>
  <si>
    <t>Yogyakarta, Solo, Sragen, Wonogiri, Wonosari</t>
  </si>
  <si>
    <t>WH Code</t>
  </si>
  <si>
    <t>Indirect</t>
  </si>
  <si>
    <t>Direct</t>
  </si>
  <si>
    <t>Svc Head</t>
  </si>
  <si>
    <t>PIC Coord</t>
  </si>
  <si>
    <t>Part Adm</t>
  </si>
  <si>
    <t>Svc Adm</t>
  </si>
  <si>
    <t xml:space="preserve">DR Inspector </t>
  </si>
  <si>
    <t>CR1</t>
  </si>
  <si>
    <t>AS2</t>
  </si>
  <si>
    <t>AS3</t>
  </si>
  <si>
    <t>AS4</t>
  </si>
  <si>
    <t>AS5</t>
  </si>
  <si>
    <t>AS6</t>
  </si>
  <si>
    <t>AS9</t>
  </si>
  <si>
    <t>ASA</t>
  </si>
  <si>
    <t>ASC</t>
  </si>
  <si>
    <t>ASD</t>
  </si>
  <si>
    <t>ASE</t>
  </si>
  <si>
    <t>ASF</t>
  </si>
  <si>
    <t>ASG</t>
  </si>
  <si>
    <t>ASJ</t>
  </si>
  <si>
    <t>ASK</t>
  </si>
  <si>
    <t>ASL</t>
  </si>
  <si>
    <t>ASM</t>
  </si>
  <si>
    <t>ASN</t>
  </si>
  <si>
    <t>ASP</t>
  </si>
  <si>
    <t>ASQ</t>
  </si>
  <si>
    <t>ASS</t>
  </si>
  <si>
    <t>AST</t>
  </si>
  <si>
    <t>ASU</t>
  </si>
  <si>
    <t>ASW</t>
  </si>
  <si>
    <t>ASX</t>
  </si>
  <si>
    <t>AW9</t>
  </si>
  <si>
    <t>Floor</t>
  </si>
  <si>
    <t>Length Building</t>
  </si>
  <si>
    <t>Width Buiding</t>
  </si>
  <si>
    <t>Office Rental Building</t>
  </si>
  <si>
    <t>Belong to LGEIN Asset</t>
  </si>
  <si>
    <t>Annual Rental Price (USD)</t>
  </si>
  <si>
    <t>Productivity YTD 2026</t>
  </si>
  <si>
    <t>Productivity 
YTD 2026</t>
  </si>
  <si>
    <t>Total
MP</t>
  </si>
  <si>
    <t>Length WH (m)</t>
  </si>
  <si>
    <t>Width WH
(m)</t>
  </si>
  <si>
    <r>
      <t>WH Space
(m</t>
    </r>
    <r>
      <rPr>
        <b/>
        <vertAlign val="superscript"/>
        <sz val="11"/>
        <color theme="1"/>
        <rFont val="맑은 고딕"/>
        <family val="2"/>
        <scheme val="minor"/>
      </rPr>
      <t>2</t>
    </r>
    <r>
      <rPr>
        <b/>
        <sz val="11"/>
        <color theme="1"/>
        <rFont val="맑은 고딕"/>
        <family val="2"/>
        <scheme val="minor"/>
      </rPr>
      <t>)</t>
    </r>
  </si>
  <si>
    <t>LGC Car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</si>
</sst>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_(* #,##0.0_);_(* \(#,##0.0\);_(* &quot;-&quot;??_);_(@_)"/>
    <numFmt numFmtId="178" formatCode="_(* #,##0_);_(* \(#,##0\);_(* &quot;-&quot;??_);_(@_)"/>
    <numFmt numFmtId="179" formatCode="0.0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11"/>
      <name val="맑은 고딕"/>
      <family val="2"/>
      <scheme val="minor"/>
    </font>
    <font>
      <sz val="11"/>
      <color rgb="FF333333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맑은 고딕"/>
      <family val="2"/>
      <scheme val="minor"/>
    </font>
    <font>
      <b/>
      <vertAlign val="superscript"/>
      <sz val="11"/>
      <color theme="1"/>
      <name val="맑은 고딕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EF8F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176" fontId="4" fillId="0" borderId="0" applyFont="0" applyFill="0" applyBorder="0" applyAlignment="0" applyProtection="0"/>
    <xf numFmtId="0" fontId="9" fillId="0" borderId="0"/>
  </cellStyleXfs>
  <cellXfs count="65">
    <xf numFmtId="0" fontId="0" fillId="0" borderId="0" xfId="0">
      <alignment vertical="center"/>
    </xf>
    <xf numFmtId="0" fontId="6" fillId="0" borderId="0" xfId="0" applyFo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1" fontId="8" fillId="7" borderId="0" xfId="0" applyNumberFormat="1" applyFont="1" applyFill="1">
      <alignment vertical="center"/>
    </xf>
    <xf numFmtId="1" fontId="8" fillId="0" borderId="0" xfId="0" applyNumberFormat="1" applyFont="1">
      <alignment vertical="center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6" fillId="0" borderId="6" xfId="0" applyFont="1" applyBorder="1">
      <alignment vertical="center"/>
    </xf>
    <xf numFmtId="49" fontId="6" fillId="0" borderId="6" xfId="0" applyNumberFormat="1" applyFont="1" applyBorder="1" applyAlignment="1">
      <alignment horizontal="left" vertical="center"/>
    </xf>
    <xf numFmtId="178" fontId="2" fillId="0" borderId="6" xfId="1" applyNumberFormat="1" applyFont="1" applyBorder="1" applyAlignment="1">
      <alignment horizontal="center" vertical="center"/>
    </xf>
    <xf numFmtId="178" fontId="2" fillId="0" borderId="6" xfId="1" applyNumberFormat="1" applyFont="1" applyBorder="1" applyAlignment="1">
      <alignment horizontal="center" vertical="center" wrapText="1"/>
    </xf>
    <xf numFmtId="15" fontId="2" fillId="0" borderId="6" xfId="0" applyNumberFormat="1" applyFont="1" applyBorder="1" applyAlignment="1">
      <alignment horizontal="center" vertical="center"/>
    </xf>
    <xf numFmtId="177" fontId="2" fillId="0" borderId="6" xfId="1" applyNumberFormat="1" applyFont="1" applyBorder="1" applyAlignment="1">
      <alignment vertical="center"/>
    </xf>
    <xf numFmtId="177" fontId="2" fillId="0" borderId="6" xfId="1" applyNumberFormat="1" applyFont="1" applyBorder="1" applyAlignment="1">
      <alignment horizontal="center" vertical="center"/>
    </xf>
    <xf numFmtId="15" fontId="7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5" fontId="6" fillId="0" borderId="6" xfId="0" applyNumberFormat="1" applyFont="1" applyBorder="1" applyAlignment="1">
      <alignment horizontal="center" vertical="center"/>
    </xf>
    <xf numFmtId="178" fontId="6" fillId="0" borderId="6" xfId="1" applyNumberFormat="1" applyFont="1" applyBorder="1" applyAlignment="1">
      <alignment horizontal="center" vertical="center"/>
    </xf>
    <xf numFmtId="178" fontId="8" fillId="7" borderId="7" xfId="1" applyNumberFormat="1" applyFont="1" applyFill="1" applyBorder="1" applyAlignment="1">
      <alignment horizontal="center" vertical="center"/>
    </xf>
    <xf numFmtId="178" fontId="8" fillId="7" borderId="7" xfId="1" applyNumberFormat="1" applyFont="1" applyFill="1" applyBorder="1" applyAlignment="1">
      <alignment vertical="center"/>
    </xf>
    <xf numFmtId="1" fontId="8" fillId="7" borderId="7" xfId="0" applyNumberFormat="1" applyFont="1" applyFill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6" fillId="0" borderId="5" xfId="0" applyFont="1" applyBorder="1">
      <alignment vertical="center"/>
    </xf>
    <xf numFmtId="49" fontId="6" fillId="0" borderId="5" xfId="0" applyNumberFormat="1" applyFont="1" applyBorder="1" applyAlignment="1">
      <alignment horizontal="left" vertical="center"/>
    </xf>
    <xf numFmtId="178" fontId="2" fillId="0" borderId="5" xfId="1" applyNumberFormat="1" applyFont="1" applyBorder="1" applyAlignment="1">
      <alignment horizontal="center" vertical="center"/>
    </xf>
    <xf numFmtId="178" fontId="2" fillId="0" borderId="5" xfId="1" applyNumberFormat="1" applyFont="1" applyBorder="1" applyAlignment="1">
      <alignment horizontal="center" vertical="center" wrapText="1"/>
    </xf>
    <xf numFmtId="15" fontId="2" fillId="0" borderId="5" xfId="0" applyNumberFormat="1" applyFont="1" applyBorder="1" applyAlignment="1">
      <alignment horizontal="center" vertical="center"/>
    </xf>
    <xf numFmtId="177" fontId="12" fillId="8" borderId="5" xfId="1" applyNumberFormat="1" applyFont="1" applyFill="1" applyBorder="1" applyAlignment="1">
      <alignment vertical="center"/>
    </xf>
    <xf numFmtId="177" fontId="2" fillId="0" borderId="5" xfId="1" applyNumberFormat="1" applyFont="1" applyBorder="1" applyAlignment="1">
      <alignment vertical="center"/>
    </xf>
    <xf numFmtId="177" fontId="2" fillId="0" borderId="5" xfId="1" applyNumberFormat="1" applyFont="1" applyBorder="1" applyAlignment="1">
      <alignment horizontal="center" vertical="center"/>
    </xf>
    <xf numFmtId="177" fontId="12" fillId="8" borderId="6" xfId="1" applyNumberFormat="1" applyFont="1" applyFill="1" applyBorder="1" applyAlignment="1">
      <alignment vertical="center" readingOrder="1"/>
    </xf>
    <xf numFmtId="0" fontId="2" fillId="9" borderId="6" xfId="0" applyFont="1" applyFill="1" applyBorder="1" applyAlignment="1">
      <alignment horizontal="center" vertical="center"/>
    </xf>
    <xf numFmtId="177" fontId="12" fillId="8" borderId="6" xfId="1" applyNumberFormat="1" applyFont="1" applyFill="1" applyBorder="1" applyAlignment="1">
      <alignment vertical="center"/>
    </xf>
    <xf numFmtId="179" fontId="8" fillId="7" borderId="7" xfId="0" applyNumberFormat="1" applyFont="1" applyFill="1" applyBorder="1">
      <alignment vertical="center"/>
    </xf>
    <xf numFmtId="0" fontId="5" fillId="13" borderId="1" xfId="0" applyFont="1" applyFill="1" applyBorder="1" applyAlignment="1">
      <alignment horizontal="center" vertical="center" wrapText="1"/>
    </xf>
    <xf numFmtId="178" fontId="1" fillId="14" borderId="5" xfId="1" applyNumberFormat="1" applyFont="1" applyFill="1" applyBorder="1" applyAlignment="1">
      <alignment horizontal="center" vertical="center" wrapText="1"/>
    </xf>
    <xf numFmtId="178" fontId="1" fillId="14" borderId="6" xfId="1" applyNumberFormat="1" applyFont="1" applyFill="1" applyBorder="1" applyAlignment="1">
      <alignment horizontal="center" vertical="center" wrapText="1"/>
    </xf>
    <xf numFmtId="178" fontId="5" fillId="3" borderId="5" xfId="1" applyNumberFormat="1" applyFont="1" applyFill="1" applyBorder="1" applyAlignment="1">
      <alignment horizontal="center" vertical="center" wrapText="1"/>
    </xf>
    <xf numFmtId="178" fontId="5" fillId="3" borderId="6" xfId="1" applyNumberFormat="1" applyFont="1" applyFill="1" applyBorder="1" applyAlignment="1">
      <alignment horizontal="center" vertical="center" wrapText="1"/>
    </xf>
    <xf numFmtId="177" fontId="2" fillId="16" borderId="6" xfId="1" applyNumberFormat="1" applyFont="1" applyFill="1" applyBorder="1" applyAlignment="1">
      <alignment vertical="center"/>
    </xf>
    <xf numFmtId="1" fontId="8" fillId="7" borderId="7" xfId="0" applyNumberFormat="1" applyFont="1" applyFill="1" applyBorder="1" applyAlignment="1">
      <alignment horizontal="center" vertical="center"/>
    </xf>
    <xf numFmtId="1" fontId="8" fillId="7" borderId="7" xfId="0" applyNumberFormat="1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178" fontId="8" fillId="7" borderId="7" xfId="1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</cellXfs>
  <cellStyles count="3">
    <cellStyle name="Normal 2_ASC Update (All)_29 february 2012" xfId="2" xr:uid="{5FB9C322-FE36-4A14-9DEA-014CE9C8E912}"/>
    <cellStyle name="쉼표" xfId="1" builtinId="3"/>
    <cellStyle name="표준" xfId="0" builtinId="0"/>
  </cellStyles>
  <dxfs count="0"/>
  <tableStyles count="0" defaultTableStyle="TableStyleMedium2" defaultPivotStyle="PivotStyleLight16"/>
  <colors>
    <mruColors>
      <color rgb="FFEEF8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F72CC-0E40-4F1D-B38F-7603E03F17C0}">
  <dimension ref="A3:AL30"/>
  <sheetViews>
    <sheetView showGridLines="0" tabSelected="1" zoomScale="130" zoomScaleNormal="130" workbookViewId="0">
      <pane xSplit="6" ySplit="4" topLeftCell="G5" activePane="bottomRight" state="frozen"/>
      <selection pane="topRight" activeCell="C1" sqref="C1"/>
      <selection pane="bottomLeft" activeCell="A3" sqref="A3"/>
      <selection pane="bottomRight" activeCell="G33" sqref="G33"/>
    </sheetView>
  </sheetViews>
  <sheetFormatPr defaultColWidth="8.625" defaultRowHeight="16.5" x14ac:dyDescent="0.3"/>
  <cols>
    <col min="1" max="1" width="0.875" style="9" customWidth="1"/>
    <col min="2" max="2" width="10.25" style="10" bestFit="1" customWidth="1"/>
    <col min="3" max="3" width="14.625" style="9" bestFit="1" customWidth="1"/>
    <col min="4" max="4" width="6.25" style="9" bestFit="1" customWidth="1"/>
    <col min="5" max="5" width="5.375" style="10" customWidth="1"/>
    <col min="6" max="6" width="10.375" style="9" bestFit="1" customWidth="1"/>
    <col min="7" max="7" width="101.875" style="9" bestFit="1" customWidth="1"/>
    <col min="8" max="8" width="67.25" style="9" customWidth="1"/>
    <col min="9" max="12" width="8.75" style="10" customWidth="1"/>
    <col min="13" max="13" width="11.125" style="9" customWidth="1"/>
    <col min="14" max="19" width="8.125" style="11" customWidth="1"/>
    <col min="20" max="20" width="9.25" style="11" customWidth="1"/>
    <col min="21" max="22" width="8.125" style="11" customWidth="1"/>
    <col min="23" max="23" width="8.125" style="12" customWidth="1"/>
    <col min="24" max="24" width="15.875" style="12" customWidth="1"/>
    <col min="25" max="28" width="14.25" style="10" customWidth="1"/>
    <col min="29" max="36" width="9.125" style="10" customWidth="1"/>
    <col min="37" max="38" width="9.625" style="10" customWidth="1"/>
    <col min="39" max="16384" width="8.625" style="9"/>
  </cols>
  <sheetData>
    <row r="3" spans="2:38" ht="28.5" customHeight="1" x14ac:dyDescent="0.3">
      <c r="B3" s="49" t="s">
        <v>60</v>
      </c>
      <c r="C3" s="49" t="s">
        <v>0</v>
      </c>
      <c r="D3" s="49" t="s">
        <v>91</v>
      </c>
      <c r="E3" s="50" t="s">
        <v>2</v>
      </c>
      <c r="F3" s="49" t="s">
        <v>1</v>
      </c>
      <c r="G3" s="49" t="s">
        <v>86</v>
      </c>
      <c r="H3" s="50" t="s">
        <v>90</v>
      </c>
      <c r="I3" s="51" t="s">
        <v>89</v>
      </c>
      <c r="J3" s="51"/>
      <c r="K3" s="51"/>
      <c r="L3" s="51"/>
      <c r="M3" s="52" t="s">
        <v>210</v>
      </c>
      <c r="N3" s="62" t="s">
        <v>170</v>
      </c>
      <c r="O3" s="63"/>
      <c r="P3" s="63"/>
      <c r="Q3" s="63"/>
      <c r="R3" s="64"/>
      <c r="S3" s="62" t="s">
        <v>171</v>
      </c>
      <c r="T3" s="63"/>
      <c r="U3" s="63"/>
      <c r="V3" s="64"/>
      <c r="W3" s="58" t="s">
        <v>211</v>
      </c>
      <c r="X3" s="59" t="s">
        <v>206</v>
      </c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1"/>
      <c r="AK3" s="56" t="s">
        <v>215</v>
      </c>
      <c r="AL3" s="57" t="s">
        <v>3</v>
      </c>
    </row>
    <row r="4" spans="2:38" ht="28.5" customHeight="1" x14ac:dyDescent="0.3">
      <c r="B4" s="49"/>
      <c r="C4" s="49"/>
      <c r="D4" s="49"/>
      <c r="E4" s="50"/>
      <c r="F4" s="49"/>
      <c r="G4" s="49"/>
      <c r="H4" s="50"/>
      <c r="I4" s="2">
        <v>2023</v>
      </c>
      <c r="J4" s="2">
        <v>2024</v>
      </c>
      <c r="K4" s="2">
        <v>2025</v>
      </c>
      <c r="L4" s="2" t="s">
        <v>88</v>
      </c>
      <c r="M4" s="52" t="s">
        <v>209</v>
      </c>
      <c r="N4" s="41" t="s">
        <v>172</v>
      </c>
      <c r="O4" s="41" t="s">
        <v>173</v>
      </c>
      <c r="P4" s="41" t="s">
        <v>174</v>
      </c>
      <c r="Q4" s="41" t="s">
        <v>175</v>
      </c>
      <c r="R4" s="41" t="s">
        <v>144</v>
      </c>
      <c r="S4" s="41" t="s">
        <v>59</v>
      </c>
      <c r="T4" s="41" t="s">
        <v>58</v>
      </c>
      <c r="U4" s="41" t="s">
        <v>176</v>
      </c>
      <c r="V4" s="41" t="s">
        <v>144</v>
      </c>
      <c r="W4" s="58"/>
      <c r="X4" s="7" t="s">
        <v>92</v>
      </c>
      <c r="Y4" s="8" t="s">
        <v>57</v>
      </c>
      <c r="Z4" s="7" t="s">
        <v>56</v>
      </c>
      <c r="AA4" s="7" t="s">
        <v>143</v>
      </c>
      <c r="AB4" s="7" t="s">
        <v>208</v>
      </c>
      <c r="AC4" s="5" t="s">
        <v>204</v>
      </c>
      <c r="AD4" s="5" t="s">
        <v>205</v>
      </c>
      <c r="AE4" s="5" t="s">
        <v>203</v>
      </c>
      <c r="AF4" s="5" t="s">
        <v>87</v>
      </c>
      <c r="AG4" s="6" t="s">
        <v>169</v>
      </c>
      <c r="AH4" s="6" t="s">
        <v>212</v>
      </c>
      <c r="AI4" s="6" t="s">
        <v>213</v>
      </c>
      <c r="AJ4" s="6" t="s">
        <v>214</v>
      </c>
      <c r="AK4" s="56"/>
      <c r="AL4" s="57"/>
    </row>
    <row r="5" spans="2:38" x14ac:dyDescent="0.3">
      <c r="B5" s="28" t="s">
        <v>61</v>
      </c>
      <c r="C5" s="29" t="s">
        <v>7</v>
      </c>
      <c r="D5" s="29" t="s">
        <v>101</v>
      </c>
      <c r="E5" s="28" t="s">
        <v>53</v>
      </c>
      <c r="F5" s="30" t="s">
        <v>32</v>
      </c>
      <c r="G5" s="30" t="s">
        <v>103</v>
      </c>
      <c r="H5" s="30" t="s">
        <v>149</v>
      </c>
      <c r="I5" s="31">
        <v>21057</v>
      </c>
      <c r="J5" s="31">
        <v>19495</v>
      </c>
      <c r="K5" s="31">
        <v>18204</v>
      </c>
      <c r="L5" s="31">
        <v>6086</v>
      </c>
      <c r="M5" s="35">
        <v>3.2687896965419898</v>
      </c>
      <c r="N5" s="32">
        <v>1</v>
      </c>
      <c r="O5" s="32">
        <v>0</v>
      </c>
      <c r="P5" s="32">
        <v>1</v>
      </c>
      <c r="Q5" s="32">
        <v>1</v>
      </c>
      <c r="R5" s="42">
        <f>SUM(N5:Q5)</f>
        <v>3</v>
      </c>
      <c r="S5" s="32">
        <v>1</v>
      </c>
      <c r="T5" s="32">
        <v>21</v>
      </c>
      <c r="U5" s="32">
        <v>0</v>
      </c>
      <c r="V5" s="42">
        <f>SUM(S5:U5)</f>
        <v>22</v>
      </c>
      <c r="W5" s="44">
        <v>25</v>
      </c>
      <c r="X5" s="31" t="s">
        <v>100</v>
      </c>
      <c r="Y5" s="33">
        <v>46023</v>
      </c>
      <c r="Z5" s="33">
        <v>47118</v>
      </c>
      <c r="AA5" s="31">
        <v>138888889</v>
      </c>
      <c r="AB5" s="31">
        <f>AA5/17500</f>
        <v>7936.5079428571426</v>
      </c>
      <c r="AC5" s="34">
        <v>15</v>
      </c>
      <c r="AD5" s="34">
        <v>6</v>
      </c>
      <c r="AE5" s="34">
        <v>3</v>
      </c>
      <c r="AF5" s="35">
        <f>AC5*AD5*AE5</f>
        <v>270</v>
      </c>
      <c r="AG5" s="36" t="s">
        <v>182</v>
      </c>
      <c r="AH5" s="34">
        <v>6.8</v>
      </c>
      <c r="AI5" s="34">
        <v>6</v>
      </c>
      <c r="AJ5" s="35">
        <f>AI5*AH5</f>
        <v>40.799999999999997</v>
      </c>
      <c r="AK5" s="31">
        <v>6</v>
      </c>
      <c r="AL5" s="31">
        <v>16</v>
      </c>
    </row>
    <row r="6" spans="2:38" x14ac:dyDescent="0.3">
      <c r="B6" s="13" t="s">
        <v>62</v>
      </c>
      <c r="C6" s="14" t="s">
        <v>10</v>
      </c>
      <c r="D6" s="14" t="s">
        <v>107</v>
      </c>
      <c r="E6" s="13" t="s">
        <v>53</v>
      </c>
      <c r="F6" s="15" t="s">
        <v>35</v>
      </c>
      <c r="G6" s="15" t="s">
        <v>108</v>
      </c>
      <c r="H6" s="15" t="s">
        <v>162</v>
      </c>
      <c r="I6" s="16">
        <v>10424</v>
      </c>
      <c r="J6" s="16">
        <v>9727</v>
      </c>
      <c r="K6" s="16">
        <v>8700</v>
      </c>
      <c r="L6" s="16">
        <v>2475</v>
      </c>
      <c r="M6" s="19">
        <v>2.9105769230769232</v>
      </c>
      <c r="N6" s="17">
        <v>1</v>
      </c>
      <c r="O6" s="17">
        <v>0</v>
      </c>
      <c r="P6" s="17">
        <v>1</v>
      </c>
      <c r="Q6" s="17">
        <v>1</v>
      </c>
      <c r="R6" s="43">
        <f t="shared" ref="R6:R30" si="0">SUM(N6:Q6)</f>
        <v>3</v>
      </c>
      <c r="S6" s="17">
        <v>1</v>
      </c>
      <c r="T6" s="17">
        <v>10</v>
      </c>
      <c r="U6" s="17">
        <v>0</v>
      </c>
      <c r="V6" s="43">
        <f t="shared" ref="V6:V30" si="1">SUM(S6:U6)</f>
        <v>11</v>
      </c>
      <c r="W6" s="45">
        <v>14</v>
      </c>
      <c r="X6" s="16" t="s">
        <v>100</v>
      </c>
      <c r="Y6" s="21">
        <v>45505</v>
      </c>
      <c r="Z6" s="21">
        <v>47330</v>
      </c>
      <c r="AA6" s="16">
        <v>202000000</v>
      </c>
      <c r="AB6" s="16">
        <f t="shared" ref="AB6:AB30" si="2">AA6/17500</f>
        <v>11542.857142857143</v>
      </c>
      <c r="AC6" s="37">
        <v>15.2</v>
      </c>
      <c r="AD6" s="37">
        <v>4.4000000000000004</v>
      </c>
      <c r="AE6" s="37">
        <v>5</v>
      </c>
      <c r="AF6" s="19">
        <f t="shared" ref="AF6:AF29" si="3">AC6*AD6*AE6</f>
        <v>334.4</v>
      </c>
      <c r="AG6" s="20" t="s">
        <v>180</v>
      </c>
      <c r="AH6" s="37">
        <v>3.5</v>
      </c>
      <c r="AI6" s="37">
        <v>3.2</v>
      </c>
      <c r="AJ6" s="19">
        <f t="shared" ref="AJ6:AJ29" si="4">AI6*AH6</f>
        <v>11.200000000000001</v>
      </c>
      <c r="AK6" s="16">
        <v>5</v>
      </c>
      <c r="AL6" s="16">
        <v>4</v>
      </c>
    </row>
    <row r="7" spans="2:38" s="1" customFormat="1" x14ac:dyDescent="0.3">
      <c r="B7" s="22" t="s">
        <v>63</v>
      </c>
      <c r="C7" s="14" t="s">
        <v>11</v>
      </c>
      <c r="D7" s="14" t="s">
        <v>102</v>
      </c>
      <c r="E7" s="22" t="s">
        <v>53</v>
      </c>
      <c r="F7" s="15" t="s">
        <v>35</v>
      </c>
      <c r="G7" s="15" t="s">
        <v>160</v>
      </c>
      <c r="H7" s="15" t="s">
        <v>159</v>
      </c>
      <c r="I7" s="16">
        <v>18566</v>
      </c>
      <c r="J7" s="16">
        <v>19170</v>
      </c>
      <c r="K7" s="16">
        <v>18999</v>
      </c>
      <c r="L7" s="16">
        <v>6051</v>
      </c>
      <c r="M7" s="19">
        <v>4.0788019451812554</v>
      </c>
      <c r="N7" s="17">
        <v>1</v>
      </c>
      <c r="O7" s="17">
        <v>0</v>
      </c>
      <c r="P7" s="17">
        <v>1</v>
      </c>
      <c r="Q7" s="17">
        <v>1</v>
      </c>
      <c r="R7" s="43">
        <f t="shared" si="0"/>
        <v>3</v>
      </c>
      <c r="S7" s="17">
        <v>0</v>
      </c>
      <c r="T7" s="17">
        <v>18</v>
      </c>
      <c r="U7" s="17">
        <v>0</v>
      </c>
      <c r="V7" s="43">
        <f t="shared" si="1"/>
        <v>18</v>
      </c>
      <c r="W7" s="45">
        <v>21</v>
      </c>
      <c r="X7" s="16" t="s">
        <v>100</v>
      </c>
      <c r="Y7" s="23">
        <v>46074</v>
      </c>
      <c r="Z7" s="23">
        <v>47899</v>
      </c>
      <c r="AA7" s="24">
        <v>255555555</v>
      </c>
      <c r="AB7" s="24">
        <f t="shared" si="2"/>
        <v>14603.174571428572</v>
      </c>
      <c r="AC7" s="19">
        <v>4.4000000000000004</v>
      </c>
      <c r="AD7" s="19">
        <v>19.5</v>
      </c>
      <c r="AE7" s="19">
        <v>3</v>
      </c>
      <c r="AF7" s="19">
        <f t="shared" si="3"/>
        <v>257.40000000000003</v>
      </c>
      <c r="AG7" s="20" t="s">
        <v>181</v>
      </c>
      <c r="AH7" s="37">
        <v>6.15</v>
      </c>
      <c r="AI7" s="37">
        <v>2.88</v>
      </c>
      <c r="AJ7" s="19">
        <f t="shared" si="4"/>
        <v>17.712</v>
      </c>
      <c r="AK7" s="24">
        <v>4</v>
      </c>
      <c r="AL7" s="24">
        <v>11</v>
      </c>
    </row>
    <row r="8" spans="2:38" x14ac:dyDescent="0.3">
      <c r="B8" s="13" t="s">
        <v>64</v>
      </c>
      <c r="C8" s="14" t="s">
        <v>26</v>
      </c>
      <c r="D8" s="14" t="s">
        <v>137</v>
      </c>
      <c r="E8" s="13" t="s">
        <v>53</v>
      </c>
      <c r="F8" s="15" t="s">
        <v>50</v>
      </c>
      <c r="G8" s="15" t="s">
        <v>138</v>
      </c>
      <c r="H8" s="15" t="s">
        <v>165</v>
      </c>
      <c r="I8" s="16">
        <v>15366</v>
      </c>
      <c r="J8" s="16">
        <v>13702</v>
      </c>
      <c r="K8" s="16">
        <v>12107</v>
      </c>
      <c r="L8" s="16">
        <v>4030</v>
      </c>
      <c r="M8" s="19">
        <v>3.2759081196581197</v>
      </c>
      <c r="N8" s="17">
        <v>1</v>
      </c>
      <c r="O8" s="17">
        <v>0</v>
      </c>
      <c r="P8" s="17">
        <v>1</v>
      </c>
      <c r="Q8" s="17">
        <v>1</v>
      </c>
      <c r="R8" s="43">
        <f t="shared" si="0"/>
        <v>3</v>
      </c>
      <c r="S8" s="17">
        <v>1</v>
      </c>
      <c r="T8" s="17">
        <v>15</v>
      </c>
      <c r="U8" s="17">
        <v>1</v>
      </c>
      <c r="V8" s="43">
        <f t="shared" si="1"/>
        <v>17</v>
      </c>
      <c r="W8" s="45">
        <v>20</v>
      </c>
      <c r="X8" s="16" t="s">
        <v>95</v>
      </c>
      <c r="Y8" s="21">
        <v>45352</v>
      </c>
      <c r="Z8" s="21">
        <v>47178</v>
      </c>
      <c r="AA8" s="16">
        <v>148000000</v>
      </c>
      <c r="AB8" s="16">
        <f t="shared" si="2"/>
        <v>8457.1428571428569</v>
      </c>
      <c r="AC8" s="19">
        <v>18.5</v>
      </c>
      <c r="AD8" s="19">
        <v>11.7</v>
      </c>
      <c r="AE8" s="19">
        <v>1</v>
      </c>
      <c r="AF8" s="19">
        <f t="shared" si="3"/>
        <v>216.45</v>
      </c>
      <c r="AG8" s="20" t="s">
        <v>194</v>
      </c>
      <c r="AH8" s="19">
        <v>12.7</v>
      </c>
      <c r="AI8" s="19">
        <v>2.5</v>
      </c>
      <c r="AJ8" s="19">
        <f t="shared" si="4"/>
        <v>31.75</v>
      </c>
      <c r="AK8" s="16">
        <v>4</v>
      </c>
      <c r="AL8" s="16">
        <v>11</v>
      </c>
    </row>
    <row r="9" spans="2:38" x14ac:dyDescent="0.3">
      <c r="B9" s="13" t="s">
        <v>65</v>
      </c>
      <c r="C9" s="14" t="s">
        <v>17</v>
      </c>
      <c r="D9" s="14" t="s">
        <v>119</v>
      </c>
      <c r="E9" s="13" t="s">
        <v>53</v>
      </c>
      <c r="F9" s="15" t="s">
        <v>41</v>
      </c>
      <c r="G9" s="15" t="s">
        <v>120</v>
      </c>
      <c r="H9" s="15" t="s">
        <v>148</v>
      </c>
      <c r="I9" s="16">
        <v>8140</v>
      </c>
      <c r="J9" s="16">
        <v>7483</v>
      </c>
      <c r="K9" s="16">
        <v>9161</v>
      </c>
      <c r="L9" s="16">
        <v>3513</v>
      </c>
      <c r="M9" s="19">
        <v>4.8990384615384617</v>
      </c>
      <c r="N9" s="17">
        <v>1</v>
      </c>
      <c r="O9" s="17">
        <v>0</v>
      </c>
      <c r="P9" s="17">
        <v>1</v>
      </c>
      <c r="Q9" s="17">
        <v>1</v>
      </c>
      <c r="R9" s="43">
        <f t="shared" si="0"/>
        <v>3</v>
      </c>
      <c r="S9" s="17">
        <v>1</v>
      </c>
      <c r="T9" s="17">
        <v>8</v>
      </c>
      <c r="U9" s="17">
        <v>1</v>
      </c>
      <c r="V9" s="43">
        <f t="shared" si="1"/>
        <v>10</v>
      </c>
      <c r="W9" s="45">
        <v>13</v>
      </c>
      <c r="X9" s="16" t="s">
        <v>95</v>
      </c>
      <c r="Y9" s="21">
        <v>44378</v>
      </c>
      <c r="Z9" s="21">
        <v>47362</v>
      </c>
      <c r="AA9" s="16">
        <v>51454204.25</v>
      </c>
      <c r="AB9" s="16">
        <f t="shared" si="2"/>
        <v>2940.2402428571427</v>
      </c>
      <c r="AC9" s="19">
        <v>12</v>
      </c>
      <c r="AD9" s="19">
        <v>10</v>
      </c>
      <c r="AE9" s="19">
        <v>3</v>
      </c>
      <c r="AF9" s="19">
        <f t="shared" si="3"/>
        <v>360</v>
      </c>
      <c r="AG9" s="20" t="s">
        <v>199</v>
      </c>
      <c r="AH9" s="19">
        <v>6</v>
      </c>
      <c r="AI9" s="19">
        <v>6</v>
      </c>
      <c r="AJ9" s="19">
        <f t="shared" si="4"/>
        <v>36</v>
      </c>
      <c r="AK9" s="16">
        <v>3</v>
      </c>
      <c r="AL9" s="16">
        <v>4</v>
      </c>
    </row>
    <row r="10" spans="2:38" x14ac:dyDescent="0.3">
      <c r="B10" s="13" t="s">
        <v>66</v>
      </c>
      <c r="C10" s="14" t="s">
        <v>27</v>
      </c>
      <c r="D10" s="14" t="s">
        <v>139</v>
      </c>
      <c r="E10" s="13" t="s">
        <v>54</v>
      </c>
      <c r="F10" s="15" t="s">
        <v>51</v>
      </c>
      <c r="G10" s="15" t="s">
        <v>140</v>
      </c>
      <c r="H10" s="15" t="s">
        <v>147</v>
      </c>
      <c r="I10" s="16">
        <v>6744</v>
      </c>
      <c r="J10" s="16">
        <v>6244</v>
      </c>
      <c r="K10" s="16">
        <v>5486</v>
      </c>
      <c r="L10" s="16">
        <v>1530</v>
      </c>
      <c r="M10" s="19">
        <v>2.9759615384615383</v>
      </c>
      <c r="N10" s="17">
        <v>0</v>
      </c>
      <c r="O10" s="17">
        <v>0</v>
      </c>
      <c r="P10" s="17">
        <v>1</v>
      </c>
      <c r="Q10" s="17">
        <v>1</v>
      </c>
      <c r="R10" s="43">
        <f t="shared" si="0"/>
        <v>2</v>
      </c>
      <c r="S10" s="17">
        <v>1</v>
      </c>
      <c r="T10" s="17">
        <v>6</v>
      </c>
      <c r="U10" s="17">
        <v>0</v>
      </c>
      <c r="V10" s="43">
        <f t="shared" si="1"/>
        <v>7</v>
      </c>
      <c r="W10" s="45">
        <v>9</v>
      </c>
      <c r="X10" s="16" t="s">
        <v>100</v>
      </c>
      <c r="Y10" s="23">
        <v>46143</v>
      </c>
      <c r="Z10" s="23">
        <v>47968</v>
      </c>
      <c r="AA10" s="16">
        <v>102666667</v>
      </c>
      <c r="AB10" s="16">
        <f t="shared" si="2"/>
        <v>5866.6666857142854</v>
      </c>
      <c r="AC10" s="19">
        <v>12.5</v>
      </c>
      <c r="AD10" s="19">
        <v>4.5</v>
      </c>
      <c r="AE10" s="19">
        <v>2.5</v>
      </c>
      <c r="AF10" s="19">
        <f t="shared" si="3"/>
        <v>140.625</v>
      </c>
      <c r="AG10" s="20" t="s">
        <v>202</v>
      </c>
      <c r="AH10" s="19">
        <v>4</v>
      </c>
      <c r="AI10" s="19">
        <v>4.5</v>
      </c>
      <c r="AJ10" s="19">
        <f t="shared" si="4"/>
        <v>18</v>
      </c>
      <c r="AK10" s="16">
        <v>3</v>
      </c>
      <c r="AL10" s="16">
        <v>5</v>
      </c>
    </row>
    <row r="11" spans="2:38" x14ac:dyDescent="0.3">
      <c r="B11" s="13" t="s">
        <v>67</v>
      </c>
      <c r="C11" s="14" t="s">
        <v>4</v>
      </c>
      <c r="D11" s="14" t="s">
        <v>93</v>
      </c>
      <c r="E11" s="13" t="s">
        <v>54</v>
      </c>
      <c r="F11" s="15" t="s">
        <v>29</v>
      </c>
      <c r="G11" s="15" t="s">
        <v>94</v>
      </c>
      <c r="H11" s="15" t="s">
        <v>158</v>
      </c>
      <c r="I11" s="16">
        <v>7219</v>
      </c>
      <c r="J11" s="16">
        <v>6721</v>
      </c>
      <c r="K11" s="16">
        <v>5700</v>
      </c>
      <c r="L11" s="16">
        <v>1588</v>
      </c>
      <c r="M11" s="19">
        <v>3.7480769230769231</v>
      </c>
      <c r="N11" s="17">
        <v>1</v>
      </c>
      <c r="O11" s="17">
        <v>0</v>
      </c>
      <c r="P11" s="17">
        <v>1</v>
      </c>
      <c r="Q11" s="17">
        <v>1</v>
      </c>
      <c r="R11" s="43">
        <f t="shared" si="0"/>
        <v>3</v>
      </c>
      <c r="S11" s="17">
        <v>1</v>
      </c>
      <c r="T11" s="17">
        <v>5</v>
      </c>
      <c r="U11" s="17">
        <v>0</v>
      </c>
      <c r="V11" s="43">
        <f t="shared" si="1"/>
        <v>6</v>
      </c>
      <c r="W11" s="45">
        <v>9</v>
      </c>
      <c r="X11" s="53" t="s">
        <v>207</v>
      </c>
      <c r="Y11" s="54"/>
      <c r="Z11" s="54"/>
      <c r="AA11" s="54"/>
      <c r="AB11" s="38"/>
      <c r="AC11" s="19">
        <v>15.7</v>
      </c>
      <c r="AD11" s="19">
        <v>4.8</v>
      </c>
      <c r="AE11" s="19">
        <v>4</v>
      </c>
      <c r="AF11" s="19">
        <f t="shared" si="3"/>
        <v>301.44</v>
      </c>
      <c r="AG11" s="20" t="s">
        <v>183</v>
      </c>
      <c r="AH11" s="19">
        <v>6</v>
      </c>
      <c r="AI11" s="19">
        <v>3.2</v>
      </c>
      <c r="AJ11" s="19">
        <f t="shared" si="4"/>
        <v>19.200000000000003</v>
      </c>
      <c r="AK11" s="16">
        <v>2</v>
      </c>
      <c r="AL11" s="16">
        <v>4</v>
      </c>
    </row>
    <row r="12" spans="2:38" x14ac:dyDescent="0.3">
      <c r="B12" s="13" t="s">
        <v>70</v>
      </c>
      <c r="C12" s="14" t="s">
        <v>9</v>
      </c>
      <c r="D12" s="14" t="s">
        <v>105</v>
      </c>
      <c r="E12" s="13" t="s">
        <v>54</v>
      </c>
      <c r="F12" s="15" t="s">
        <v>34</v>
      </c>
      <c r="G12" s="15" t="s">
        <v>106</v>
      </c>
      <c r="H12" s="15" t="s">
        <v>156</v>
      </c>
      <c r="I12" s="16">
        <v>5888</v>
      </c>
      <c r="J12" s="16">
        <v>6332</v>
      </c>
      <c r="K12" s="16">
        <v>5506</v>
      </c>
      <c r="L12" s="16">
        <v>1730</v>
      </c>
      <c r="M12" s="19">
        <v>3.4464285714285716</v>
      </c>
      <c r="N12" s="17">
        <v>1</v>
      </c>
      <c r="O12" s="17">
        <v>0</v>
      </c>
      <c r="P12" s="17">
        <v>1</v>
      </c>
      <c r="Q12" s="17">
        <v>1</v>
      </c>
      <c r="R12" s="43">
        <f t="shared" si="0"/>
        <v>3</v>
      </c>
      <c r="S12" s="17">
        <v>1</v>
      </c>
      <c r="T12" s="17">
        <v>7</v>
      </c>
      <c r="U12" s="17">
        <v>0</v>
      </c>
      <c r="V12" s="43">
        <f t="shared" si="1"/>
        <v>8</v>
      </c>
      <c r="W12" s="45">
        <v>11</v>
      </c>
      <c r="X12" s="16" t="s">
        <v>95</v>
      </c>
      <c r="Y12" s="21">
        <v>44866</v>
      </c>
      <c r="Z12" s="21">
        <v>46692</v>
      </c>
      <c r="AA12" s="16">
        <v>122222222.2</v>
      </c>
      <c r="AB12" s="16">
        <f t="shared" si="2"/>
        <v>6984.126982857143</v>
      </c>
      <c r="AC12" s="37">
        <v>14.4</v>
      </c>
      <c r="AD12" s="37">
        <v>8.4</v>
      </c>
      <c r="AE12" s="37">
        <v>1</v>
      </c>
      <c r="AF12" s="19">
        <f t="shared" si="3"/>
        <v>120.96000000000001</v>
      </c>
      <c r="AG12" s="20" t="s">
        <v>188</v>
      </c>
      <c r="AH12" s="37">
        <v>5.2</v>
      </c>
      <c r="AI12" s="37">
        <v>3.2</v>
      </c>
      <c r="AJ12" s="19">
        <f t="shared" si="4"/>
        <v>16.64</v>
      </c>
      <c r="AK12" s="16">
        <v>2</v>
      </c>
      <c r="AL12" s="16">
        <v>4</v>
      </c>
    </row>
    <row r="13" spans="2:38" x14ac:dyDescent="0.3">
      <c r="B13" s="13" t="s">
        <v>71</v>
      </c>
      <c r="C13" s="14" t="s">
        <v>18</v>
      </c>
      <c r="D13" s="14" t="s">
        <v>121</v>
      </c>
      <c r="E13" s="13" t="s">
        <v>54</v>
      </c>
      <c r="F13" s="15" t="s">
        <v>42</v>
      </c>
      <c r="G13" s="15" t="s">
        <v>122</v>
      </c>
      <c r="H13" s="15" t="s">
        <v>157</v>
      </c>
      <c r="I13" s="16">
        <v>4973</v>
      </c>
      <c r="J13" s="16">
        <v>3709</v>
      </c>
      <c r="K13" s="16">
        <v>3264</v>
      </c>
      <c r="L13" s="16">
        <v>979</v>
      </c>
      <c r="M13" s="19">
        <v>3.2769230769230768</v>
      </c>
      <c r="N13" s="17">
        <v>1</v>
      </c>
      <c r="O13" s="17">
        <v>0</v>
      </c>
      <c r="P13" s="17">
        <v>1</v>
      </c>
      <c r="Q13" s="17">
        <v>1</v>
      </c>
      <c r="R13" s="43">
        <f t="shared" si="0"/>
        <v>3</v>
      </c>
      <c r="S13" s="17">
        <v>1</v>
      </c>
      <c r="T13" s="17">
        <v>5</v>
      </c>
      <c r="U13" s="17">
        <v>0</v>
      </c>
      <c r="V13" s="43">
        <f t="shared" si="1"/>
        <v>6</v>
      </c>
      <c r="W13" s="45">
        <v>9</v>
      </c>
      <c r="X13" s="16" t="s">
        <v>95</v>
      </c>
      <c r="Y13" s="18">
        <v>45901</v>
      </c>
      <c r="Z13" s="18">
        <v>47726</v>
      </c>
      <c r="AA13" s="16">
        <v>70500000</v>
      </c>
      <c r="AB13" s="16">
        <f t="shared" si="2"/>
        <v>4028.5714285714284</v>
      </c>
      <c r="AC13" s="19">
        <v>16</v>
      </c>
      <c r="AD13" s="19">
        <v>10.8</v>
      </c>
      <c r="AE13" s="19">
        <v>3</v>
      </c>
      <c r="AF13" s="19">
        <f t="shared" si="3"/>
        <v>518.40000000000009</v>
      </c>
      <c r="AG13" s="20" t="s">
        <v>201</v>
      </c>
      <c r="AH13" s="19">
        <v>7</v>
      </c>
      <c r="AI13" s="19">
        <v>4</v>
      </c>
      <c r="AJ13" s="19">
        <f t="shared" si="4"/>
        <v>28</v>
      </c>
      <c r="AK13" s="16">
        <v>2</v>
      </c>
      <c r="AL13" s="16">
        <v>4</v>
      </c>
    </row>
    <row r="14" spans="2:38" x14ac:dyDescent="0.3">
      <c r="B14" s="13" t="s">
        <v>72</v>
      </c>
      <c r="C14" s="14" t="s">
        <v>21</v>
      </c>
      <c r="D14" s="14" t="s">
        <v>127</v>
      </c>
      <c r="E14" s="13" t="s">
        <v>54</v>
      </c>
      <c r="F14" s="15" t="s">
        <v>45</v>
      </c>
      <c r="G14" s="15" t="s">
        <v>128</v>
      </c>
      <c r="H14" s="15" t="s">
        <v>161</v>
      </c>
      <c r="I14" s="16">
        <v>4768</v>
      </c>
      <c r="J14" s="16">
        <v>4282</v>
      </c>
      <c r="K14" s="16">
        <v>3439</v>
      </c>
      <c r="L14" s="16">
        <v>1000</v>
      </c>
      <c r="M14" s="46">
        <v>2.7564102564102559</v>
      </c>
      <c r="N14" s="17">
        <v>1</v>
      </c>
      <c r="O14" s="17">
        <v>0</v>
      </c>
      <c r="P14" s="17">
        <v>0</v>
      </c>
      <c r="Q14" s="17">
        <v>1</v>
      </c>
      <c r="R14" s="43">
        <f t="shared" si="0"/>
        <v>2</v>
      </c>
      <c r="S14" s="17">
        <v>0</v>
      </c>
      <c r="T14" s="17">
        <v>4</v>
      </c>
      <c r="U14" s="17">
        <v>1</v>
      </c>
      <c r="V14" s="43">
        <f t="shared" si="1"/>
        <v>5</v>
      </c>
      <c r="W14" s="45">
        <v>7</v>
      </c>
      <c r="X14" s="16" t="s">
        <v>95</v>
      </c>
      <c r="Y14" s="21">
        <v>45784</v>
      </c>
      <c r="Z14" s="21">
        <v>47609</v>
      </c>
      <c r="AA14" s="16">
        <v>51000000</v>
      </c>
      <c r="AB14" s="16">
        <f t="shared" si="2"/>
        <v>2914.2857142857142</v>
      </c>
      <c r="AC14" s="19">
        <v>17.3</v>
      </c>
      <c r="AD14" s="19">
        <v>6.5</v>
      </c>
      <c r="AE14" s="19">
        <v>3</v>
      </c>
      <c r="AF14" s="19">
        <f t="shared" si="3"/>
        <v>337.35</v>
      </c>
      <c r="AG14" s="20" t="s">
        <v>192</v>
      </c>
      <c r="AH14" s="19">
        <v>4</v>
      </c>
      <c r="AI14" s="19">
        <v>3</v>
      </c>
      <c r="AJ14" s="19">
        <f t="shared" si="4"/>
        <v>12</v>
      </c>
      <c r="AK14" s="16">
        <v>2</v>
      </c>
      <c r="AL14" s="16">
        <v>2</v>
      </c>
    </row>
    <row r="15" spans="2:38" x14ac:dyDescent="0.3">
      <c r="B15" s="13" t="s">
        <v>84</v>
      </c>
      <c r="C15" s="14" t="s">
        <v>25</v>
      </c>
      <c r="D15" s="14" t="s">
        <v>135</v>
      </c>
      <c r="E15" s="13" t="s">
        <v>54</v>
      </c>
      <c r="F15" s="15" t="s">
        <v>49</v>
      </c>
      <c r="G15" s="15" t="s">
        <v>136</v>
      </c>
      <c r="H15" s="15" t="s">
        <v>163</v>
      </c>
      <c r="I15" s="16">
        <v>6191</v>
      </c>
      <c r="J15" s="16">
        <v>6997</v>
      </c>
      <c r="K15" s="16">
        <v>5996</v>
      </c>
      <c r="L15" s="16">
        <v>1504</v>
      </c>
      <c r="M15" s="19">
        <v>4.1884615384615387</v>
      </c>
      <c r="N15" s="17">
        <v>1</v>
      </c>
      <c r="O15" s="17">
        <v>0</v>
      </c>
      <c r="P15" s="17">
        <v>1</v>
      </c>
      <c r="Q15" s="17">
        <v>1</v>
      </c>
      <c r="R15" s="43">
        <f t="shared" si="0"/>
        <v>3</v>
      </c>
      <c r="S15" s="17">
        <v>0</v>
      </c>
      <c r="T15" s="17">
        <v>5</v>
      </c>
      <c r="U15" s="17">
        <v>0</v>
      </c>
      <c r="V15" s="43">
        <f t="shared" si="1"/>
        <v>5</v>
      </c>
      <c r="W15" s="45">
        <v>8</v>
      </c>
      <c r="X15" s="16" t="s">
        <v>95</v>
      </c>
      <c r="Y15" s="21">
        <v>44279</v>
      </c>
      <c r="Z15" s="21">
        <v>47200</v>
      </c>
      <c r="AA15" s="16">
        <v>88958333.25</v>
      </c>
      <c r="AB15" s="16">
        <f t="shared" si="2"/>
        <v>5083.3333285714289</v>
      </c>
      <c r="AC15" s="39">
        <v>14</v>
      </c>
      <c r="AD15" s="39">
        <v>7</v>
      </c>
      <c r="AE15" s="39">
        <v>1</v>
      </c>
      <c r="AF15" s="19">
        <f t="shared" si="3"/>
        <v>98</v>
      </c>
      <c r="AG15" s="20" t="s">
        <v>197</v>
      </c>
      <c r="AH15" s="39">
        <v>5</v>
      </c>
      <c r="AI15" s="39">
        <v>2.8</v>
      </c>
      <c r="AJ15" s="19">
        <f t="shared" si="4"/>
        <v>14</v>
      </c>
      <c r="AK15" s="16">
        <v>1</v>
      </c>
      <c r="AL15" s="16">
        <v>4</v>
      </c>
    </row>
    <row r="16" spans="2:38" x14ac:dyDescent="0.3">
      <c r="B16" s="13" t="s">
        <v>68</v>
      </c>
      <c r="C16" s="14" t="s">
        <v>5</v>
      </c>
      <c r="D16" s="14" t="s">
        <v>96</v>
      </c>
      <c r="E16" s="13" t="s">
        <v>55</v>
      </c>
      <c r="F16" s="15" t="s">
        <v>30</v>
      </c>
      <c r="G16" s="15" t="s">
        <v>97</v>
      </c>
      <c r="H16" s="15" t="s">
        <v>155</v>
      </c>
      <c r="I16" s="16">
        <v>3031</v>
      </c>
      <c r="J16" s="16">
        <v>2683</v>
      </c>
      <c r="K16" s="16">
        <v>2208</v>
      </c>
      <c r="L16" s="16">
        <v>786</v>
      </c>
      <c r="M16" s="46">
        <v>2.2836538461538463</v>
      </c>
      <c r="N16" s="17">
        <v>1</v>
      </c>
      <c r="O16" s="17">
        <v>0</v>
      </c>
      <c r="P16" s="17">
        <v>0</v>
      </c>
      <c r="Q16" s="17">
        <v>1</v>
      </c>
      <c r="R16" s="43">
        <f t="shared" si="0"/>
        <v>2</v>
      </c>
      <c r="S16" s="17">
        <v>0</v>
      </c>
      <c r="T16" s="17">
        <v>4</v>
      </c>
      <c r="U16" s="17">
        <v>0</v>
      </c>
      <c r="V16" s="43">
        <f t="shared" si="1"/>
        <v>4</v>
      </c>
      <c r="W16" s="45">
        <v>6</v>
      </c>
      <c r="X16" s="16" t="s">
        <v>95</v>
      </c>
      <c r="Y16" s="21">
        <v>45536</v>
      </c>
      <c r="Z16" s="21">
        <v>47361</v>
      </c>
      <c r="AA16" s="16">
        <v>66666666.600000001</v>
      </c>
      <c r="AB16" s="16">
        <f t="shared" si="2"/>
        <v>3809.5238057142856</v>
      </c>
      <c r="AC16" s="19">
        <v>22</v>
      </c>
      <c r="AD16" s="19">
        <v>5</v>
      </c>
      <c r="AE16" s="19">
        <v>3</v>
      </c>
      <c r="AF16" s="19">
        <f t="shared" si="3"/>
        <v>330</v>
      </c>
      <c r="AG16" s="20" t="s">
        <v>185</v>
      </c>
      <c r="AH16" s="19">
        <v>4.8</v>
      </c>
      <c r="AI16" s="19">
        <v>3.24</v>
      </c>
      <c r="AJ16" s="19">
        <f t="shared" si="4"/>
        <v>15.552</v>
      </c>
      <c r="AK16" s="16">
        <v>2</v>
      </c>
      <c r="AL16" s="16">
        <v>1</v>
      </c>
    </row>
    <row r="17" spans="1:38" x14ac:dyDescent="0.3">
      <c r="B17" s="13" t="s">
        <v>69</v>
      </c>
      <c r="C17" s="14" t="s">
        <v>6</v>
      </c>
      <c r="D17" s="14" t="s">
        <v>98</v>
      </c>
      <c r="E17" s="13" t="s">
        <v>55</v>
      </c>
      <c r="F17" s="15" t="s">
        <v>31</v>
      </c>
      <c r="G17" s="15" t="s">
        <v>99</v>
      </c>
      <c r="H17" s="15" t="s">
        <v>146</v>
      </c>
      <c r="I17" s="16">
        <v>3751</v>
      </c>
      <c r="J17" s="16">
        <v>3872</v>
      </c>
      <c r="K17" s="16">
        <v>3272</v>
      </c>
      <c r="L17" s="16">
        <v>1154</v>
      </c>
      <c r="M17" s="46">
        <v>2.7173076923076924</v>
      </c>
      <c r="N17" s="17">
        <v>1</v>
      </c>
      <c r="O17" s="17">
        <v>0</v>
      </c>
      <c r="P17" s="17">
        <v>0</v>
      </c>
      <c r="Q17" s="17">
        <v>1</v>
      </c>
      <c r="R17" s="43">
        <f t="shared" si="0"/>
        <v>2</v>
      </c>
      <c r="S17" s="17">
        <v>0</v>
      </c>
      <c r="T17" s="17">
        <v>5</v>
      </c>
      <c r="U17" s="17">
        <v>0</v>
      </c>
      <c r="V17" s="43">
        <f t="shared" si="1"/>
        <v>5</v>
      </c>
      <c r="W17" s="45">
        <v>7</v>
      </c>
      <c r="X17" s="16" t="s">
        <v>100</v>
      </c>
      <c r="Y17" s="21">
        <v>45336</v>
      </c>
      <c r="Z17" s="21">
        <v>46432</v>
      </c>
      <c r="AA17" s="16">
        <v>83333333.333333328</v>
      </c>
      <c r="AB17" s="16">
        <f t="shared" si="2"/>
        <v>4761.9047619047615</v>
      </c>
      <c r="AC17" s="19">
        <v>15</v>
      </c>
      <c r="AD17" s="19">
        <v>4.5</v>
      </c>
      <c r="AE17" s="19">
        <v>3</v>
      </c>
      <c r="AF17" s="19">
        <f t="shared" si="3"/>
        <v>202.5</v>
      </c>
      <c r="AG17" s="20" t="s">
        <v>187</v>
      </c>
      <c r="AH17" s="19">
        <v>4.2</v>
      </c>
      <c r="AI17" s="19">
        <v>4.5</v>
      </c>
      <c r="AJ17" s="19">
        <f t="shared" si="4"/>
        <v>18.900000000000002</v>
      </c>
      <c r="AK17" s="16">
        <v>2</v>
      </c>
      <c r="AL17" s="16">
        <v>2</v>
      </c>
    </row>
    <row r="18" spans="1:38" x14ac:dyDescent="0.3">
      <c r="B18" s="13" t="s">
        <v>73</v>
      </c>
      <c r="C18" s="14" t="s">
        <v>22</v>
      </c>
      <c r="D18" s="14" t="s">
        <v>129</v>
      </c>
      <c r="E18" s="13" t="s">
        <v>55</v>
      </c>
      <c r="F18" s="15" t="s">
        <v>46</v>
      </c>
      <c r="G18" s="15" t="s">
        <v>130</v>
      </c>
      <c r="H18" s="15" t="s">
        <v>153</v>
      </c>
      <c r="I18" s="16">
        <v>3598</v>
      </c>
      <c r="J18" s="16">
        <v>3399</v>
      </c>
      <c r="K18" s="16">
        <v>3027</v>
      </c>
      <c r="L18" s="16">
        <v>949</v>
      </c>
      <c r="M18" s="19">
        <v>2.8389423076923075</v>
      </c>
      <c r="N18" s="17">
        <v>1</v>
      </c>
      <c r="O18" s="17">
        <v>0</v>
      </c>
      <c r="P18" s="17">
        <v>0</v>
      </c>
      <c r="Q18" s="17">
        <v>1</v>
      </c>
      <c r="R18" s="43">
        <f t="shared" si="0"/>
        <v>2</v>
      </c>
      <c r="S18" s="17">
        <v>0</v>
      </c>
      <c r="T18" s="17">
        <v>4</v>
      </c>
      <c r="U18" s="17">
        <v>0</v>
      </c>
      <c r="V18" s="43">
        <f t="shared" si="1"/>
        <v>4</v>
      </c>
      <c r="W18" s="45">
        <v>6</v>
      </c>
      <c r="X18" s="16" t="s">
        <v>95</v>
      </c>
      <c r="Y18" s="18">
        <v>45778</v>
      </c>
      <c r="Z18" s="18">
        <v>47604</v>
      </c>
      <c r="AA18" s="16">
        <v>73777777.799999997</v>
      </c>
      <c r="AB18" s="16">
        <f t="shared" si="2"/>
        <v>4215.873017142857</v>
      </c>
      <c r="AC18" s="19">
        <v>17</v>
      </c>
      <c r="AD18" s="19">
        <v>10</v>
      </c>
      <c r="AE18" s="19">
        <v>3</v>
      </c>
      <c r="AF18" s="19">
        <f t="shared" si="3"/>
        <v>510</v>
      </c>
      <c r="AG18" s="20" t="s">
        <v>190</v>
      </c>
      <c r="AH18" s="19">
        <v>4.5</v>
      </c>
      <c r="AI18" s="19">
        <v>6</v>
      </c>
      <c r="AJ18" s="19">
        <f t="shared" si="4"/>
        <v>27</v>
      </c>
      <c r="AK18" s="16">
        <v>2</v>
      </c>
      <c r="AL18" s="16">
        <v>1</v>
      </c>
    </row>
    <row r="19" spans="1:38" x14ac:dyDescent="0.3">
      <c r="B19" s="13" t="s">
        <v>74</v>
      </c>
      <c r="C19" s="14" t="s">
        <v>23</v>
      </c>
      <c r="D19" s="14" t="s">
        <v>131</v>
      </c>
      <c r="E19" s="13" t="s">
        <v>55</v>
      </c>
      <c r="F19" s="15" t="s">
        <v>47</v>
      </c>
      <c r="G19" s="15" t="s">
        <v>132</v>
      </c>
      <c r="H19" s="15" t="s">
        <v>145</v>
      </c>
      <c r="I19" s="16">
        <v>2367</v>
      </c>
      <c r="J19" s="16">
        <v>2086</v>
      </c>
      <c r="K19" s="16">
        <v>1827</v>
      </c>
      <c r="L19" s="16">
        <v>663</v>
      </c>
      <c r="M19" s="46">
        <v>2.1128542510121457</v>
      </c>
      <c r="N19" s="17">
        <v>1</v>
      </c>
      <c r="O19" s="17">
        <v>0</v>
      </c>
      <c r="P19" s="17">
        <v>0</v>
      </c>
      <c r="Q19" s="17">
        <v>1</v>
      </c>
      <c r="R19" s="43">
        <f t="shared" si="0"/>
        <v>2</v>
      </c>
      <c r="S19" s="17">
        <v>0</v>
      </c>
      <c r="T19" s="17">
        <v>4</v>
      </c>
      <c r="U19" s="17">
        <v>0</v>
      </c>
      <c r="V19" s="43">
        <f t="shared" si="1"/>
        <v>4</v>
      </c>
      <c r="W19" s="45">
        <v>6</v>
      </c>
      <c r="X19" s="16" t="s">
        <v>95</v>
      </c>
      <c r="Y19" s="21">
        <v>45139</v>
      </c>
      <c r="Z19" s="21">
        <v>46234</v>
      </c>
      <c r="AA19" s="16">
        <v>55555555.333333336</v>
      </c>
      <c r="AB19" s="16">
        <f t="shared" si="2"/>
        <v>3174.6031619047621</v>
      </c>
      <c r="AC19" s="19">
        <v>18</v>
      </c>
      <c r="AD19" s="19">
        <v>4</v>
      </c>
      <c r="AE19" s="19">
        <v>3</v>
      </c>
      <c r="AF19" s="19">
        <f t="shared" si="3"/>
        <v>216</v>
      </c>
      <c r="AG19" s="20" t="s">
        <v>178</v>
      </c>
      <c r="AH19" s="19">
        <v>6.42</v>
      </c>
      <c r="AI19" s="19">
        <v>2.9</v>
      </c>
      <c r="AJ19" s="19">
        <f t="shared" si="4"/>
        <v>18.617999999999999</v>
      </c>
      <c r="AK19" s="16">
        <v>2</v>
      </c>
      <c r="AL19" s="16">
        <v>2</v>
      </c>
    </row>
    <row r="20" spans="1:38" x14ac:dyDescent="0.3">
      <c r="B20" s="13" t="s">
        <v>75</v>
      </c>
      <c r="C20" s="14" t="s">
        <v>24</v>
      </c>
      <c r="D20" s="14" t="s">
        <v>133</v>
      </c>
      <c r="E20" s="13" t="s">
        <v>55</v>
      </c>
      <c r="F20" s="15" t="s">
        <v>48</v>
      </c>
      <c r="G20" s="15" t="s">
        <v>134</v>
      </c>
      <c r="H20" s="15" t="s">
        <v>154</v>
      </c>
      <c r="I20" s="16">
        <v>3748</v>
      </c>
      <c r="J20" s="16">
        <v>3877</v>
      </c>
      <c r="K20" s="16">
        <v>3528</v>
      </c>
      <c r="L20" s="16">
        <v>1131</v>
      </c>
      <c r="M20" s="19">
        <v>3.5793269230769229</v>
      </c>
      <c r="N20" s="17">
        <v>1</v>
      </c>
      <c r="O20" s="17">
        <v>0</v>
      </c>
      <c r="P20" s="17">
        <v>0</v>
      </c>
      <c r="Q20" s="17">
        <v>1</v>
      </c>
      <c r="R20" s="43">
        <f t="shared" si="0"/>
        <v>2</v>
      </c>
      <c r="S20" s="17">
        <v>0</v>
      </c>
      <c r="T20" s="17">
        <v>4</v>
      </c>
      <c r="U20" s="17">
        <v>0</v>
      </c>
      <c r="V20" s="43">
        <f t="shared" si="1"/>
        <v>4</v>
      </c>
      <c r="W20" s="45">
        <v>6</v>
      </c>
      <c r="X20" s="16" t="s">
        <v>95</v>
      </c>
      <c r="Y20" s="21">
        <v>44927</v>
      </c>
      <c r="Z20" s="21">
        <v>46752</v>
      </c>
      <c r="AA20" s="16">
        <v>62500000</v>
      </c>
      <c r="AB20" s="16">
        <f t="shared" si="2"/>
        <v>3571.4285714285716</v>
      </c>
      <c r="AC20" s="19">
        <v>20</v>
      </c>
      <c r="AD20" s="19">
        <v>5</v>
      </c>
      <c r="AE20" s="19">
        <v>3</v>
      </c>
      <c r="AF20" s="19">
        <f>AC20*AD20*AE20</f>
        <v>300</v>
      </c>
      <c r="AG20" s="20" t="s">
        <v>186</v>
      </c>
      <c r="AH20" s="19">
        <v>3.6</v>
      </c>
      <c r="AI20" s="19">
        <v>3</v>
      </c>
      <c r="AJ20" s="19">
        <f t="shared" si="4"/>
        <v>10.8</v>
      </c>
      <c r="AK20" s="16">
        <v>2</v>
      </c>
      <c r="AL20" s="16">
        <v>1</v>
      </c>
    </row>
    <row r="21" spans="1:38" x14ac:dyDescent="0.3">
      <c r="B21" s="13" t="s">
        <v>76</v>
      </c>
      <c r="C21" s="14" t="s">
        <v>19</v>
      </c>
      <c r="D21" s="14" t="s">
        <v>123</v>
      </c>
      <c r="E21" s="13" t="s">
        <v>55</v>
      </c>
      <c r="F21" s="15" t="s">
        <v>43</v>
      </c>
      <c r="G21" s="15" t="s">
        <v>124</v>
      </c>
      <c r="H21" s="15" t="s">
        <v>152</v>
      </c>
      <c r="I21" s="16">
        <v>3650</v>
      </c>
      <c r="J21" s="16">
        <v>2777</v>
      </c>
      <c r="K21" s="16">
        <v>2774</v>
      </c>
      <c r="L21" s="16">
        <v>797</v>
      </c>
      <c r="M21" s="19">
        <v>3.1121794871794872</v>
      </c>
      <c r="N21" s="17">
        <v>0</v>
      </c>
      <c r="O21" s="17">
        <v>1</v>
      </c>
      <c r="P21" s="17">
        <v>0</v>
      </c>
      <c r="Q21" s="17">
        <v>0</v>
      </c>
      <c r="R21" s="43">
        <f t="shared" si="0"/>
        <v>1</v>
      </c>
      <c r="S21" s="17">
        <v>0</v>
      </c>
      <c r="T21" s="17">
        <v>3</v>
      </c>
      <c r="U21" s="17">
        <v>0</v>
      </c>
      <c r="V21" s="43">
        <f t="shared" si="1"/>
        <v>3</v>
      </c>
      <c r="W21" s="45">
        <v>4</v>
      </c>
      <c r="X21" s="16" t="s">
        <v>95</v>
      </c>
      <c r="Y21" s="21">
        <v>45200</v>
      </c>
      <c r="Z21" s="21">
        <v>46295</v>
      </c>
      <c r="AA21" s="16">
        <v>31111111.333333332</v>
      </c>
      <c r="AB21" s="16">
        <f t="shared" si="2"/>
        <v>1777.7777904761904</v>
      </c>
      <c r="AC21" s="19">
        <v>15</v>
      </c>
      <c r="AD21" s="19">
        <v>5</v>
      </c>
      <c r="AE21" s="19">
        <v>3</v>
      </c>
      <c r="AF21" s="19">
        <f t="shared" si="3"/>
        <v>225</v>
      </c>
      <c r="AG21" s="20" t="s">
        <v>200</v>
      </c>
      <c r="AH21" s="19">
        <v>4</v>
      </c>
      <c r="AI21" s="19">
        <v>3.5</v>
      </c>
      <c r="AJ21" s="19">
        <f t="shared" si="4"/>
        <v>14</v>
      </c>
      <c r="AK21" s="16">
        <v>1</v>
      </c>
      <c r="AL21" s="16">
        <v>2</v>
      </c>
    </row>
    <row r="22" spans="1:38" x14ac:dyDescent="0.3">
      <c r="B22" s="13" t="s">
        <v>77</v>
      </c>
      <c r="C22" s="14" t="s">
        <v>8</v>
      </c>
      <c r="D22" s="14" t="s">
        <v>177</v>
      </c>
      <c r="E22" s="13" t="s">
        <v>55</v>
      </c>
      <c r="F22" s="15" t="s">
        <v>33</v>
      </c>
      <c r="G22" s="15" t="s">
        <v>104</v>
      </c>
      <c r="H22" s="15" t="s">
        <v>150</v>
      </c>
      <c r="I22" s="16">
        <v>2796</v>
      </c>
      <c r="J22" s="16">
        <v>2435</v>
      </c>
      <c r="K22" s="16">
        <v>2021</v>
      </c>
      <c r="L22" s="16">
        <v>692</v>
      </c>
      <c r="M22" s="19">
        <v>4.0769230769230766</v>
      </c>
      <c r="N22" s="17">
        <v>0</v>
      </c>
      <c r="O22" s="17">
        <v>1</v>
      </c>
      <c r="P22" s="17">
        <v>0</v>
      </c>
      <c r="Q22" s="17">
        <v>1</v>
      </c>
      <c r="R22" s="43">
        <f t="shared" si="0"/>
        <v>2</v>
      </c>
      <c r="S22" s="17">
        <v>0</v>
      </c>
      <c r="T22" s="17">
        <v>2</v>
      </c>
      <c r="U22" s="17">
        <v>0</v>
      </c>
      <c r="V22" s="43">
        <f t="shared" si="1"/>
        <v>2</v>
      </c>
      <c r="W22" s="45">
        <v>4</v>
      </c>
      <c r="X22" s="16" t="s">
        <v>100</v>
      </c>
      <c r="Y22" s="18">
        <v>45962</v>
      </c>
      <c r="Z22" s="18">
        <v>47057</v>
      </c>
      <c r="AA22" s="16">
        <v>61111111</v>
      </c>
      <c r="AB22" s="16">
        <f t="shared" si="2"/>
        <v>3492.0634857142859</v>
      </c>
      <c r="AC22" s="19">
        <v>15</v>
      </c>
      <c r="AD22" s="19">
        <v>7</v>
      </c>
      <c r="AE22" s="19">
        <v>2</v>
      </c>
      <c r="AF22" s="19">
        <f t="shared" si="3"/>
        <v>210</v>
      </c>
      <c r="AG22" s="20" t="s">
        <v>184</v>
      </c>
      <c r="AH22" s="19">
        <v>6.5</v>
      </c>
      <c r="AI22" s="19">
        <v>5</v>
      </c>
      <c r="AJ22" s="19">
        <f t="shared" si="4"/>
        <v>32.5</v>
      </c>
      <c r="AK22" s="16">
        <v>1</v>
      </c>
      <c r="AL22" s="16">
        <v>1</v>
      </c>
    </row>
    <row r="23" spans="1:38" x14ac:dyDescent="0.3">
      <c r="B23" s="13" t="s">
        <v>78</v>
      </c>
      <c r="C23" s="14" t="s">
        <v>12</v>
      </c>
      <c r="D23" s="14" t="s">
        <v>109</v>
      </c>
      <c r="E23" s="13" t="s">
        <v>55</v>
      </c>
      <c r="F23" s="15" t="s">
        <v>36</v>
      </c>
      <c r="G23" s="15" t="s">
        <v>110</v>
      </c>
      <c r="H23" s="15" t="s">
        <v>36</v>
      </c>
      <c r="I23" s="16">
        <v>2143</v>
      </c>
      <c r="J23" s="16">
        <v>2114</v>
      </c>
      <c r="K23" s="16">
        <v>2001</v>
      </c>
      <c r="L23" s="16">
        <v>637</v>
      </c>
      <c r="M23" s="19">
        <v>3.625</v>
      </c>
      <c r="N23" s="17">
        <v>1</v>
      </c>
      <c r="O23" s="17">
        <v>0</v>
      </c>
      <c r="P23" s="17">
        <v>0</v>
      </c>
      <c r="Q23" s="17">
        <v>1</v>
      </c>
      <c r="R23" s="43">
        <f t="shared" si="0"/>
        <v>2</v>
      </c>
      <c r="S23" s="17">
        <v>0</v>
      </c>
      <c r="T23" s="17">
        <v>2</v>
      </c>
      <c r="U23" s="17">
        <v>0</v>
      </c>
      <c r="V23" s="43">
        <f t="shared" si="1"/>
        <v>2</v>
      </c>
      <c r="W23" s="45">
        <v>4</v>
      </c>
      <c r="X23" s="16" t="s">
        <v>100</v>
      </c>
      <c r="Y23" s="18">
        <v>45839</v>
      </c>
      <c r="Z23" s="18">
        <v>47664</v>
      </c>
      <c r="AA23" s="16">
        <v>48888888.799999997</v>
      </c>
      <c r="AB23" s="16">
        <f t="shared" si="2"/>
        <v>2793.6507885714286</v>
      </c>
      <c r="AC23" s="19">
        <v>18</v>
      </c>
      <c r="AD23" s="19">
        <v>4</v>
      </c>
      <c r="AE23" s="19">
        <v>3</v>
      </c>
      <c r="AF23" s="19">
        <f t="shared" si="3"/>
        <v>216</v>
      </c>
      <c r="AG23" s="20" t="s">
        <v>193</v>
      </c>
      <c r="AH23" s="19">
        <v>6.5</v>
      </c>
      <c r="AI23" s="19">
        <v>7</v>
      </c>
      <c r="AJ23" s="19">
        <f t="shared" si="4"/>
        <v>45.5</v>
      </c>
      <c r="AK23" s="16">
        <v>1</v>
      </c>
      <c r="AL23" s="16">
        <v>2</v>
      </c>
    </row>
    <row r="24" spans="1:38" x14ac:dyDescent="0.3">
      <c r="B24" s="13" t="s">
        <v>79</v>
      </c>
      <c r="C24" s="14" t="s">
        <v>13</v>
      </c>
      <c r="D24" s="14" t="s">
        <v>111</v>
      </c>
      <c r="E24" s="13" t="s">
        <v>55</v>
      </c>
      <c r="F24" s="15" t="s">
        <v>37</v>
      </c>
      <c r="G24" s="15" t="s">
        <v>112</v>
      </c>
      <c r="H24" s="15" t="s">
        <v>164</v>
      </c>
      <c r="I24" s="16">
        <v>1451</v>
      </c>
      <c r="J24" s="16">
        <v>1348</v>
      </c>
      <c r="K24" s="16">
        <v>1322</v>
      </c>
      <c r="L24" s="16">
        <v>379</v>
      </c>
      <c r="M24" s="46">
        <v>2.2980769230769229</v>
      </c>
      <c r="N24" s="17">
        <v>0</v>
      </c>
      <c r="O24" s="17">
        <v>1</v>
      </c>
      <c r="P24" s="17">
        <v>0</v>
      </c>
      <c r="Q24" s="17">
        <v>1</v>
      </c>
      <c r="R24" s="43">
        <f t="shared" si="0"/>
        <v>2</v>
      </c>
      <c r="S24" s="17">
        <v>0</v>
      </c>
      <c r="T24" s="17">
        <v>2</v>
      </c>
      <c r="U24" s="17">
        <v>0</v>
      </c>
      <c r="V24" s="43">
        <f t="shared" si="1"/>
        <v>2</v>
      </c>
      <c r="W24" s="45">
        <v>4</v>
      </c>
      <c r="X24" s="16" t="s">
        <v>100</v>
      </c>
      <c r="Y24" s="18">
        <v>46082</v>
      </c>
      <c r="Z24" s="18">
        <v>47178</v>
      </c>
      <c r="AA24" s="16">
        <v>55555555.666666664</v>
      </c>
      <c r="AB24" s="16">
        <f t="shared" si="2"/>
        <v>3174.6031809523806</v>
      </c>
      <c r="AC24" s="37">
        <v>16</v>
      </c>
      <c r="AD24" s="37">
        <v>5</v>
      </c>
      <c r="AE24" s="37">
        <v>2</v>
      </c>
      <c r="AF24" s="19">
        <f t="shared" si="3"/>
        <v>160</v>
      </c>
      <c r="AG24" s="20" t="s">
        <v>195</v>
      </c>
      <c r="AH24" s="37">
        <v>2.5</v>
      </c>
      <c r="AI24" s="37">
        <v>5</v>
      </c>
      <c r="AJ24" s="19">
        <f t="shared" si="4"/>
        <v>12.5</v>
      </c>
      <c r="AK24" s="16">
        <v>1</v>
      </c>
      <c r="AL24" s="16">
        <v>1</v>
      </c>
    </row>
    <row r="25" spans="1:38" x14ac:dyDescent="0.3">
      <c r="B25" s="13" t="s">
        <v>80</v>
      </c>
      <c r="C25" s="14" t="s">
        <v>14</v>
      </c>
      <c r="D25" s="14" t="s">
        <v>113</v>
      </c>
      <c r="E25" s="13" t="s">
        <v>55</v>
      </c>
      <c r="F25" s="15" t="s">
        <v>38</v>
      </c>
      <c r="G25" s="15" t="s">
        <v>114</v>
      </c>
      <c r="H25" s="15" t="s">
        <v>166</v>
      </c>
      <c r="I25" s="16">
        <v>2322</v>
      </c>
      <c r="J25" s="16">
        <v>2445</v>
      </c>
      <c r="K25" s="16">
        <v>2490</v>
      </c>
      <c r="L25" s="16">
        <v>789</v>
      </c>
      <c r="M25" s="19">
        <v>4.5336538461538458</v>
      </c>
      <c r="N25" s="17">
        <v>0</v>
      </c>
      <c r="O25" s="17">
        <v>1</v>
      </c>
      <c r="P25" s="17">
        <v>1</v>
      </c>
      <c r="Q25" s="17">
        <v>0</v>
      </c>
      <c r="R25" s="43">
        <f t="shared" si="0"/>
        <v>2</v>
      </c>
      <c r="S25" s="17">
        <v>0</v>
      </c>
      <c r="T25" s="17">
        <v>2</v>
      </c>
      <c r="U25" s="17">
        <v>0</v>
      </c>
      <c r="V25" s="43">
        <f t="shared" si="1"/>
        <v>2</v>
      </c>
      <c r="W25" s="45">
        <v>4</v>
      </c>
      <c r="X25" s="16" t="s">
        <v>100</v>
      </c>
      <c r="Y25" s="18">
        <v>45901</v>
      </c>
      <c r="Z25" s="18">
        <v>46997</v>
      </c>
      <c r="AA25" s="16">
        <v>66111111</v>
      </c>
      <c r="AB25" s="16">
        <f t="shared" si="2"/>
        <v>3777.7777714285712</v>
      </c>
      <c r="AC25" s="37">
        <v>15</v>
      </c>
      <c r="AD25" s="37">
        <v>4</v>
      </c>
      <c r="AE25" s="37">
        <v>2</v>
      </c>
      <c r="AF25" s="19">
        <f t="shared" si="3"/>
        <v>120</v>
      </c>
      <c r="AG25" s="20" t="s">
        <v>196</v>
      </c>
      <c r="AH25" s="37">
        <v>4</v>
      </c>
      <c r="AI25" s="37">
        <v>3</v>
      </c>
      <c r="AJ25" s="19">
        <f t="shared" si="4"/>
        <v>12</v>
      </c>
      <c r="AK25" s="16">
        <v>1</v>
      </c>
      <c r="AL25" s="16">
        <v>1</v>
      </c>
    </row>
    <row r="26" spans="1:38" x14ac:dyDescent="0.3">
      <c r="B26" s="13" t="s">
        <v>81</v>
      </c>
      <c r="C26" s="14" t="s">
        <v>15</v>
      </c>
      <c r="D26" s="14" t="s">
        <v>115</v>
      </c>
      <c r="E26" s="13" t="s">
        <v>55</v>
      </c>
      <c r="F26" s="15" t="s">
        <v>39</v>
      </c>
      <c r="G26" s="15" t="s">
        <v>116</v>
      </c>
      <c r="H26" s="15" t="s">
        <v>39</v>
      </c>
      <c r="I26" s="16">
        <v>1994</v>
      </c>
      <c r="J26" s="16">
        <v>1809</v>
      </c>
      <c r="K26" s="16">
        <v>1679</v>
      </c>
      <c r="L26" s="16">
        <v>544</v>
      </c>
      <c r="M26" s="46">
        <v>2.1314102564102564</v>
      </c>
      <c r="N26" s="17">
        <v>0</v>
      </c>
      <c r="O26" s="17">
        <v>1</v>
      </c>
      <c r="P26" s="17">
        <v>0</v>
      </c>
      <c r="Q26" s="17">
        <v>1</v>
      </c>
      <c r="R26" s="43">
        <f t="shared" si="0"/>
        <v>2</v>
      </c>
      <c r="S26" s="17">
        <v>0</v>
      </c>
      <c r="T26" s="17">
        <v>3</v>
      </c>
      <c r="U26" s="17">
        <v>0</v>
      </c>
      <c r="V26" s="43">
        <f t="shared" si="1"/>
        <v>3</v>
      </c>
      <c r="W26" s="45">
        <v>5</v>
      </c>
      <c r="X26" s="16" t="s">
        <v>100</v>
      </c>
      <c r="Y26" s="21">
        <v>46090</v>
      </c>
      <c r="Z26" s="21">
        <v>47185</v>
      </c>
      <c r="AA26" s="16">
        <v>80555555.666666672</v>
      </c>
      <c r="AB26" s="16">
        <f t="shared" si="2"/>
        <v>4603.1746095238095</v>
      </c>
      <c r="AC26" s="19">
        <v>15</v>
      </c>
      <c r="AD26" s="19">
        <v>4</v>
      </c>
      <c r="AE26" s="19">
        <v>3</v>
      </c>
      <c r="AF26" s="19">
        <f t="shared" si="3"/>
        <v>180</v>
      </c>
      <c r="AG26" s="20" t="s">
        <v>179</v>
      </c>
      <c r="AH26" s="19">
        <v>4</v>
      </c>
      <c r="AI26" s="19">
        <v>3</v>
      </c>
      <c r="AJ26" s="19">
        <f t="shared" si="4"/>
        <v>12</v>
      </c>
      <c r="AK26" s="16">
        <v>1</v>
      </c>
      <c r="AL26" s="16">
        <v>1</v>
      </c>
    </row>
    <row r="27" spans="1:38" x14ac:dyDescent="0.3">
      <c r="B27" s="13" t="s">
        <v>82</v>
      </c>
      <c r="C27" s="14" t="s">
        <v>16</v>
      </c>
      <c r="D27" s="14" t="s">
        <v>117</v>
      </c>
      <c r="E27" s="13" t="s">
        <v>55</v>
      </c>
      <c r="F27" s="15" t="s">
        <v>40</v>
      </c>
      <c r="G27" s="15" t="s">
        <v>118</v>
      </c>
      <c r="H27" s="15" t="s">
        <v>167</v>
      </c>
      <c r="I27" s="16">
        <v>2046</v>
      </c>
      <c r="J27" s="16">
        <v>2342</v>
      </c>
      <c r="K27" s="16">
        <v>2049</v>
      </c>
      <c r="L27" s="16">
        <v>628</v>
      </c>
      <c r="M27" s="19">
        <v>3.6971153846153846</v>
      </c>
      <c r="N27" s="17">
        <v>0</v>
      </c>
      <c r="O27" s="17">
        <v>1</v>
      </c>
      <c r="P27" s="17">
        <v>0</v>
      </c>
      <c r="Q27" s="17">
        <v>1</v>
      </c>
      <c r="R27" s="43">
        <f t="shared" si="0"/>
        <v>2</v>
      </c>
      <c r="S27" s="17">
        <v>0</v>
      </c>
      <c r="T27" s="17">
        <v>2</v>
      </c>
      <c r="U27" s="17">
        <v>0</v>
      </c>
      <c r="V27" s="43">
        <f t="shared" si="1"/>
        <v>2</v>
      </c>
      <c r="W27" s="45">
        <v>4</v>
      </c>
      <c r="X27" s="16" t="s">
        <v>100</v>
      </c>
      <c r="Y27" s="18">
        <v>45814</v>
      </c>
      <c r="Z27" s="18">
        <v>47640</v>
      </c>
      <c r="AA27" s="16">
        <v>42777777.799999997</v>
      </c>
      <c r="AB27" s="16">
        <f t="shared" si="2"/>
        <v>2444.4444457142854</v>
      </c>
      <c r="AC27" s="39">
        <v>15</v>
      </c>
      <c r="AD27" s="39">
        <v>4.5</v>
      </c>
      <c r="AE27" s="39">
        <v>2</v>
      </c>
      <c r="AF27" s="19">
        <f t="shared" si="3"/>
        <v>135</v>
      </c>
      <c r="AG27" s="20" t="s">
        <v>189</v>
      </c>
      <c r="AH27" s="39">
        <v>4.5</v>
      </c>
      <c r="AI27" s="39">
        <v>3</v>
      </c>
      <c r="AJ27" s="19">
        <f t="shared" si="4"/>
        <v>13.5</v>
      </c>
      <c r="AK27" s="16">
        <v>1</v>
      </c>
      <c r="AL27" s="16">
        <v>1</v>
      </c>
    </row>
    <row r="28" spans="1:38" x14ac:dyDescent="0.3">
      <c r="B28" s="13" t="s">
        <v>83</v>
      </c>
      <c r="C28" s="14" t="s">
        <v>20</v>
      </c>
      <c r="D28" s="14" t="s">
        <v>125</v>
      </c>
      <c r="E28" s="13" t="s">
        <v>55</v>
      </c>
      <c r="F28" s="15" t="s">
        <v>44</v>
      </c>
      <c r="G28" s="15" t="s">
        <v>126</v>
      </c>
      <c r="H28" s="15" t="s">
        <v>151</v>
      </c>
      <c r="I28" s="16">
        <v>1824</v>
      </c>
      <c r="J28" s="16">
        <v>1514</v>
      </c>
      <c r="K28" s="16">
        <v>1068</v>
      </c>
      <c r="L28" s="16">
        <v>342</v>
      </c>
      <c r="M28" s="46">
        <v>1.4198717948717947</v>
      </c>
      <c r="N28" s="17">
        <v>0</v>
      </c>
      <c r="O28" s="17">
        <v>1</v>
      </c>
      <c r="P28" s="17">
        <v>0</v>
      </c>
      <c r="Q28" s="17">
        <v>1</v>
      </c>
      <c r="R28" s="43">
        <f t="shared" si="0"/>
        <v>2</v>
      </c>
      <c r="S28" s="17">
        <v>0</v>
      </c>
      <c r="T28" s="17">
        <v>3</v>
      </c>
      <c r="U28" s="17">
        <v>0</v>
      </c>
      <c r="V28" s="43">
        <f t="shared" si="1"/>
        <v>3</v>
      </c>
      <c r="W28" s="45">
        <v>5</v>
      </c>
      <c r="X28" s="16" t="s">
        <v>95</v>
      </c>
      <c r="Y28" s="21">
        <v>45293</v>
      </c>
      <c r="Z28" s="21">
        <v>46389</v>
      </c>
      <c r="AA28" s="16">
        <v>75111111</v>
      </c>
      <c r="AB28" s="16">
        <f t="shared" si="2"/>
        <v>4292.0634857142859</v>
      </c>
      <c r="AC28" s="19">
        <v>17.5</v>
      </c>
      <c r="AD28" s="19">
        <v>5</v>
      </c>
      <c r="AE28" s="19">
        <v>2</v>
      </c>
      <c r="AF28" s="19">
        <f t="shared" si="3"/>
        <v>175</v>
      </c>
      <c r="AG28" s="20" t="s">
        <v>191</v>
      </c>
      <c r="AH28" s="19">
        <v>3.5</v>
      </c>
      <c r="AI28" s="19">
        <v>4</v>
      </c>
      <c r="AJ28" s="19">
        <f t="shared" si="4"/>
        <v>14</v>
      </c>
      <c r="AK28" s="16">
        <v>1</v>
      </c>
      <c r="AL28" s="16">
        <v>2</v>
      </c>
    </row>
    <row r="29" spans="1:38" x14ac:dyDescent="0.3">
      <c r="B29" s="13" t="s">
        <v>85</v>
      </c>
      <c r="C29" s="14" t="s">
        <v>28</v>
      </c>
      <c r="D29" s="14" t="s">
        <v>141</v>
      </c>
      <c r="E29" s="13" t="s">
        <v>55</v>
      </c>
      <c r="F29" s="15" t="s">
        <v>52</v>
      </c>
      <c r="G29" s="15" t="s">
        <v>142</v>
      </c>
      <c r="H29" s="15" t="s">
        <v>168</v>
      </c>
      <c r="I29" s="16">
        <v>4992</v>
      </c>
      <c r="J29" s="16">
        <v>4117</v>
      </c>
      <c r="K29" s="16">
        <v>3256</v>
      </c>
      <c r="L29" s="16">
        <v>965</v>
      </c>
      <c r="M29" s="46">
        <v>2.3403846153846155</v>
      </c>
      <c r="N29" s="17">
        <v>0</v>
      </c>
      <c r="O29" s="17">
        <v>1</v>
      </c>
      <c r="P29" s="17">
        <v>0</v>
      </c>
      <c r="Q29" s="17">
        <v>1</v>
      </c>
      <c r="R29" s="43">
        <f t="shared" si="0"/>
        <v>2</v>
      </c>
      <c r="S29" s="17">
        <v>0</v>
      </c>
      <c r="T29" s="17">
        <v>5</v>
      </c>
      <c r="U29" s="17">
        <v>0</v>
      </c>
      <c r="V29" s="43">
        <f t="shared" si="1"/>
        <v>5</v>
      </c>
      <c r="W29" s="45">
        <v>7</v>
      </c>
      <c r="X29" s="16" t="s">
        <v>95</v>
      </c>
      <c r="Y29" s="21">
        <v>44501</v>
      </c>
      <c r="Z29" s="21">
        <v>46326</v>
      </c>
      <c r="AA29" s="16">
        <v>92592592.599999994</v>
      </c>
      <c r="AB29" s="16">
        <f t="shared" si="2"/>
        <v>5291.0052914285707</v>
      </c>
      <c r="AC29" s="37">
        <v>22</v>
      </c>
      <c r="AD29" s="37">
        <v>10</v>
      </c>
      <c r="AE29" s="37">
        <v>3</v>
      </c>
      <c r="AF29" s="19">
        <f t="shared" si="3"/>
        <v>660</v>
      </c>
      <c r="AG29" s="20" t="s">
        <v>198</v>
      </c>
      <c r="AH29" s="19">
        <v>5</v>
      </c>
      <c r="AI29" s="19">
        <v>4</v>
      </c>
      <c r="AJ29" s="19">
        <f t="shared" si="4"/>
        <v>20</v>
      </c>
      <c r="AK29" s="16">
        <v>1</v>
      </c>
      <c r="AL29" s="16">
        <v>3</v>
      </c>
    </row>
    <row r="30" spans="1:38" s="4" customFormat="1" x14ac:dyDescent="0.3">
      <c r="A30" s="3"/>
      <c r="B30" s="48" t="s">
        <v>144</v>
      </c>
      <c r="C30" s="48"/>
      <c r="D30" s="48"/>
      <c r="E30" s="48"/>
      <c r="F30" s="48"/>
      <c r="G30" s="48"/>
      <c r="H30" s="48"/>
      <c r="I30" s="25">
        <f>SUM(I5:I29)</f>
        <v>149049</v>
      </c>
      <c r="J30" s="25">
        <f>SUM(J5:J29)</f>
        <v>140680</v>
      </c>
      <c r="K30" s="25">
        <f>SUM(K5:K29)</f>
        <v>129084</v>
      </c>
      <c r="L30" s="25">
        <f>SUM(L5:L29)</f>
        <v>40942</v>
      </c>
      <c r="M30" s="40">
        <v>3.3308052241875776</v>
      </c>
      <c r="N30" s="25">
        <f>SUM(N5:N29)</f>
        <v>16</v>
      </c>
      <c r="O30" s="25">
        <f>SUM(O5:O29)</f>
        <v>8</v>
      </c>
      <c r="P30" s="25">
        <f>SUM(P5:P29)</f>
        <v>11</v>
      </c>
      <c r="Q30" s="25">
        <f>SUM(Q5:Q29)</f>
        <v>23</v>
      </c>
      <c r="R30" s="25">
        <f t="shared" si="0"/>
        <v>58</v>
      </c>
      <c r="S30" s="25">
        <f>SUM(S5:S29)</f>
        <v>8</v>
      </c>
      <c r="T30" s="25">
        <f>SUM(T5:T29)</f>
        <v>149</v>
      </c>
      <c r="U30" s="25">
        <f>SUM(U5:U29)</f>
        <v>3</v>
      </c>
      <c r="V30" s="25">
        <f t="shared" si="1"/>
        <v>160</v>
      </c>
      <c r="W30" s="25">
        <f>SUM(W5:W29)</f>
        <v>218</v>
      </c>
      <c r="X30" s="55"/>
      <c r="Y30" s="55"/>
      <c r="Z30" s="55"/>
      <c r="AA30" s="26">
        <f>SUM(AA5:AA29)</f>
        <v>2126894018.633333</v>
      </c>
      <c r="AB30" s="26">
        <f t="shared" si="2"/>
        <v>121536.80106476188</v>
      </c>
      <c r="AC30" s="55"/>
      <c r="AD30" s="55"/>
      <c r="AE30" s="55"/>
      <c r="AF30" s="27"/>
      <c r="AG30" s="27"/>
      <c r="AH30" s="47"/>
      <c r="AI30" s="47"/>
      <c r="AJ30" s="27"/>
      <c r="AK30" s="26">
        <f>SUM(AK5:AK29)</f>
        <v>53</v>
      </c>
      <c r="AL30" s="26">
        <f>SUM(AL5:AL29)</f>
        <v>90</v>
      </c>
    </row>
  </sheetData>
  <autoFilter ref="A4:AL30" xr:uid="{DA5F72CC-0E40-4F1D-B38F-7603E03F17C0}"/>
  <mergeCells count="20">
    <mergeCell ref="AK3:AK4"/>
    <mergeCell ref="AL3:AL4"/>
    <mergeCell ref="F3:F4"/>
    <mergeCell ref="W3:W4"/>
    <mergeCell ref="G3:G4"/>
    <mergeCell ref="X3:AJ3"/>
    <mergeCell ref="N3:R3"/>
    <mergeCell ref="S3:V3"/>
    <mergeCell ref="AH30:AI30"/>
    <mergeCell ref="B30:H30"/>
    <mergeCell ref="D3:D4"/>
    <mergeCell ref="H3:H4"/>
    <mergeCell ref="I3:L3"/>
    <mergeCell ref="B3:B4"/>
    <mergeCell ref="C3:C4"/>
    <mergeCell ref="E3:E4"/>
    <mergeCell ref="M3:M4"/>
    <mergeCell ref="X11:AA11"/>
    <mergeCell ref="X30:Z30"/>
    <mergeCell ref="AC30:AE30"/>
  </mergeCells>
  <phoneticPr fontId="3" type="noConversion"/>
  <pageMargins left="0.7" right="0.7" top="0.75" bottom="0.75" header="0.3" footer="0.3"/>
  <headerFooter>
    <oddHeader>&amp;C&amp;"Calibri"&amp;12&amp;K000000 LGE Internal Use Only&amp;1#_x000D_</oddHead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DSC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Yonghwan/President/LGEID</dc:creator>
  <cp:lastModifiedBy>Kim Yonghwan/President/LGEID</cp:lastModifiedBy>
  <dcterms:created xsi:type="dcterms:W3CDTF">2026-05-22T01:33:40Z</dcterms:created>
  <dcterms:modified xsi:type="dcterms:W3CDTF">2026-06-19T09:16:25Z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2026-05-22T01:44:38Z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7f6284f2-3a03-46e3-812d-de092d7a6c64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